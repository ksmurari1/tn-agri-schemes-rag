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ortlist" sheetId="1" state="visible" r:id="rId3"/>
    <sheet name="Excluded" sheetId="2" state="visible" r:id="rId4"/>
    <sheet name="Summary" sheetId="3" state="visible" r:id="rId5"/>
  </sheets>
  <definedNames>
    <definedName function="false" hidden="true" localSheetId="1" name="_xlnm._FilterDatabase" vbProcedure="false">Excluded!$A$1:$H$230</definedName>
    <definedName function="false" hidden="true" localSheetId="0" name="_xlnm._FilterDatabase" vbProcedure="false">Shortlist!$A$1:$K$87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<sst xmlns="http://schemas.openxmlformats.org/spreadsheetml/2006/main" count="1858" uniqueCount="1000">
  <si>
    <t xml:space="preserve">GO Number</t>
  </si>
  <si>
    <t xml:space="preserve">Year</t>
  </si>
  <si>
    <t xml:space="preserve">Date</t>
  </si>
  <si>
    <t xml:space="preserve">Department</t>
  </si>
  <si>
    <t xml:space="preserve">Subject</t>
  </si>
  <si>
    <t xml:space="preserve">Section</t>
  </si>
  <si>
    <t xml:space="preserve">Size (KB)</t>
  </si>
  <si>
    <t xml:space="preserve">Language</t>
  </si>
  <si>
    <t xml:space="preserve">Scheme-related?</t>
  </si>
  <si>
    <t xml:space="preserve">PDF URL</t>
  </si>
  <si>
    <t xml:space="preserve">Keep? (Y/N)</t>
  </si>
  <si>
    <t xml:space="preserve">G.O . 230</t>
  </si>
  <si>
    <t xml:space="preserve">Agriculture</t>
  </si>
  <si>
    <t xml:space="preserve">Agriculture Farmers Welfare - Budget Announcement 2023-2024 Velaan e-Sevai Maiyam Scheme for 385 Integrated Agricultural Extension Centres under Agricultural Technology Management Agency (ATMA) scheme</t>
  </si>
  <si>
    <t xml:space="preserve">AP 2</t>
  </si>
  <si>
    <t xml:space="preserve">English</t>
  </si>
  <si>
    <t xml:space="preserve">Y</t>
  </si>
  <si>
    <t xml:space="preserve">http://tnagrisnet.tn.gov.in/fcms/documents/go/14-VelaanesevaiMaiyamG.O.pdf</t>
  </si>
  <si>
    <t xml:space="preserve">அரசாணை (டி) எண்.90, வேளாண்மை - உழவர் நலத் (வே.உ2) துறை</t>
  </si>
  <si>
    <t xml:space="preserve">Agri Marketing</t>
  </si>
  <si>
    <t xml:space="preserve">வேளாண்மை உழவர் நலன்- 2023-2024 ஆம் ஆண்டிற்கான வேளாண்மை நிதிநிலை அறிக்கை - மாண்புமிகு வேளாண்மை - உழவர் நலத்துறை அமைச்சர் அவர்களால் அறிவிக்கப்பட்ட அறிவிப்பு - பயிர் சாகுபடி விவரங்களை கிராம வாரியாக சேகரித்து, கணினிமயமாக்கி புதிய இணையதளமான 'GRAINS' Portal (Grower Online Registration of Agriculture Inputs System) என்ற இயங்குதளம் அறிமுகப்படுத்தப்படும் என்ற அறிவிப்பினை செயல்படுத்துதல் - ஆணை வெளியிடப்படுகிறது.rnrnrn</t>
  </si>
  <si>
    <t xml:space="preserve">AP2</t>
  </si>
  <si>
    <t xml:space="preserve">Tamil</t>
  </si>
  <si>
    <t xml:space="preserve">http://tnagrisnet.tn.gov.in/fcms/documents/go/10-GRAINSG.O.pdf</t>
  </si>
  <si>
    <t xml:space="preserve">86 வேளாண்மை உழவர் (வேவி) துறை</t>
  </si>
  <si>
    <t xml:space="preserve">வேளாண்மை உழவர் நலத்துறை- வேளாண்மை விற்பனை வேளாண் வணிகம் வேளாண்மை - நிதிநிலை அறிக்கை 2023-2024 அறிவிப்பு எண்.48 - 25 உழவர் சந்தைகளில் தொன்மை சார் உணவகங்கள் தனியார் பங்களிப்புடன் உருவாக்கப்படும் - தொடர்பாகrn</t>
  </si>
  <si>
    <t xml:space="preserve">http://tnagrisnet.tn.gov.in/fcms/documents/go/10-canteenmarketinggo.pdf</t>
  </si>
  <si>
    <t xml:space="preserve">44 வேளாண்மை உழவர் (வஇபதி)துறை</t>
  </si>
  <si>
    <t xml:space="preserve">வேளாண்மை உழவர் நலத்துறை கலைஞரின் அனைத்து கிராம- ஒருங்கிணைந்த வேளாண் வளர்ச்சித் திட்டம் 2021-2022 மற்றும் 2022-2023 ஆம் ஆணையிடப்பட்டது - உழவர் நலன் சார்ந்த இதர 7 துறைகளின் திட்டங்கள் / ஆண்டுகளுக்கான திட்டப்பணிகளை உழவர் நலன் சார்ந்த இதர 7 துறை திட்டங்களுடன் ஒருங்கிணைத்து செயல்படுத்துதல்-நிதி ஒப்பளிப்பு செய்து செயல்பாடுகளை ஒருங்கிணைத்து செயல்படுத்துவதற்கான வழிகாட்டு நெறிமுறைகளை அங்கீகரித்தல் - ஆணை வெளியிடப்படுகிறதுrn</t>
  </si>
  <si>
    <t xml:space="preserve">http://tnagrisnet.tn.gov.in/fcms/documents/go/10-kaviadpgo.pdf</t>
  </si>
  <si>
    <t xml:space="preserve">G.O.(2D) No.23</t>
  </si>
  <si>
    <t xml:space="preserve">Horticulture</t>
  </si>
  <si>
    <t xml:space="preserve">Agriculture and Farmers Welfare - Notification of Tamil Nadu State Agricultural Marketing Board as State Level Supporter (SLS), Marketing Committees as Primary Procurement Agencies (PPAs) and Regulated Markets as Primary Procurement Centres (PPCs) for procurement of Copra under Price Support Scheme (PSS) during 2023-Orders-Issued.</t>
  </si>
  <si>
    <t xml:space="preserve">H2</t>
  </si>
  <si>
    <t xml:space="preserve">http://tnagrisnet.tn.gov.in/fcms/documents/go/28-G.ONo.23.pdf</t>
  </si>
  <si>
    <t xml:space="preserve">G.O. (2D) No.6</t>
  </si>
  <si>
    <t xml:space="preserve">Agriculture and Farmers Welfare - Implementation of Price Support Scheme (PSS) - Procurement of Green gram through National Agricultural Cooperative Marketing Federation of India (NAFED) Ltd during Rabi 2022-2023 - Expected production, Sowing area, Sowing period, average, yield, peak arrival / harvesting period - Notified.</t>
  </si>
  <si>
    <t xml:space="preserve">AP4</t>
  </si>
  <si>
    <t xml:space="preserve">http://tnagrisnet.tn.gov.in/fcms/documents/go/G-O-No-6.pdf</t>
  </si>
  <si>
    <t xml:space="preserve">G.O.(Ms) No.299</t>
  </si>
  <si>
    <t xml:space="preserve">Agriculture and Farmers Welfare Department Coconut Development Board Implementation of the scheme "Replanting and Rejuvenation of Coconut Gardens in Tamil Nadu during 2022-2023 Financial sanction for Rs.9,22,40,380/- Orders Issued.</t>
  </si>
  <si>
    <t xml:space="preserve">http://tnagrisnet.tn.gov.in/fcms/documents/go/18-agri_e_ms_299_h2_2022.pdf</t>
  </si>
  <si>
    <t xml:space="preserve">G.O. 298</t>
  </si>
  <si>
    <t xml:space="preserve">வேளாண்மை உழவர் நலத்துறை வேளாண் நிதிநிலை அறிக்கை கலைஞரின் அனைத்துக் கிராம ஒருங்கிணைந்த வேளாண் வளர்ச்சித் திட்டம் - 2022-2023 - வேளாண்மைத் துறை, தோட்டக்கலை (ம) மலைப்பயிர்கள் துறை, வேளாண்மை பொறியியல் துறை, வேளாண்மை விற்பனை மற்றும் வேளாண் வணிகத் துறை மற்றும் சர்க்கரைத்துறை மூலம் திட்டம் செயல்படுத்துதல் ரூ.234.22926 கோடிக்கான நிதி ஒப்பளிப்பு மற்றும் வழிகாட்டு நெறிமுறைகள் - ஆணை - வெளியிடப்படுகிறது.</t>
  </si>
  <si>
    <t xml:space="preserve">வஇபதி</t>
  </si>
  <si>
    <t xml:space="preserve">http://tnagrisnet.tn.gov.in/fcms/documents/go/18-agri_t_ms_298_dpap_2022.pdf</t>
  </si>
  <si>
    <t xml:space="preserve">G.O (2D) No.200</t>
  </si>
  <si>
    <t xml:space="preserve">Agriculture and Farmers Welfare - Constitution of Publicity and Promotion cell for promotion and publicise the State and Central schemes among farmers - Orders - Issued.</t>
  </si>
  <si>
    <t xml:space="preserve">AP1</t>
  </si>
  <si>
    <t xml:space="preserve">http://tnagrisnet.tn.gov.in/fcms/documents/go/18-agri_e_2d_200_ap1_2022.pdf</t>
  </si>
  <si>
    <t xml:space="preserve">G.O 290</t>
  </si>
  <si>
    <t xml:space="preserve">வேளாண்மை உழவர் நலத்துறை கலைஞரின் அனைத்து கிராம ஒருங்கிணைந்த வேளாண் வளர்ச்சித் திட்டம் 2021-2022- வேளாண்மைப் பொறியியல் துறைக்கு ஒப்பளிக்கப்பட்ட தொகையிலிருந்து செலவிடப்படாத தொகை - ரூ.75.52 கோடியினை வேளாண்மைத்துறை மற்றும் பிற துறைகளுக்கு திட்டங்களை செயல்படுத்த பகிர்ந்தளித்தல் ஆணை வெளியிடப்படுகிறது</t>
  </si>
  <si>
    <t xml:space="preserve">http://tnagrisnet.tn.gov.in/fcms/documents/go/18-agri_t_ms_290_dpap_2022.pdf</t>
  </si>
  <si>
    <t xml:space="preserve">G.O.(Ms).No.286</t>
  </si>
  <si>
    <t xml:space="preserve">Agriculture and Farmers Welfare - Revised Administrative Approval for a sum of Rs.10362.602 lakh under Food grain crops and Rs.457.660 lakh under Commercial Crops Financial sanction of balance amount of 1st installment release under FNS - Rice, Pulses, Coarse - Cereals, Nutri- Cereals, TRFA Pulses and cotton an amount of Rs.1342.718 lakh orders - Issued.</t>
  </si>
  <si>
    <t xml:space="preserve">http://tnagrisnet.tn.gov.in/fcms/documents/go/18-agri_e_ms_286_ap4_2022.pdf</t>
  </si>
  <si>
    <t xml:space="preserve">284</t>
  </si>
  <si>
    <t xml:space="preserve">Agriculture and Farmers Welfare - Implementation of Tamil Nadu Mission on Sustainable Green cover in Farm Lands (TNMSGCF) under Sub Mission on Agro forestry (SMAF) component of National Mission for Sustainable Agriculture (NMSA) Financial sanction for an amount of Rs.547.50 lakh from the State Fund for settlement of dues to the Forest Department for the year 2021-22-Sanction Accorded - Orders - Issued</t>
  </si>
  <si>
    <t xml:space="preserve">A P 5</t>
  </si>
  <si>
    <t xml:space="preserve">http://tnagrisnet.tn.gov.in/fcms/documents/go/15-agri_e_ms_284_ap5_2022.pdf</t>
  </si>
  <si>
    <t xml:space="preserve">276</t>
  </si>
  <si>
    <t xml:space="preserve">Agriculture and Farmers Welfare - Coconut Development Board assisted schemes- 2022-2023-"Establishment of Regional Coconut Nurseries - Financial sanction for a sum of Rs.2,88,00,000/--Orders - Issued.</t>
  </si>
  <si>
    <t xml:space="preserve">H 2</t>
  </si>
  <si>
    <t xml:space="preserve">http://tnagrisnet.tn.gov.in/fcms/documents/go/15-agri_e_ms_276_h2_2022.pdf</t>
  </si>
  <si>
    <t xml:space="preserve">277</t>
  </si>
  <si>
    <t xml:space="preserve">Agriculture and Farmers Welfare Coconut Development Board assisted sch 2022-23 "Integrated farming in Coconut holding for productivity improvement - La out of Demonstration Plots First year (New) and Second year (Maintenance Government Farms of State Department of Agriculture Rs.15,22,500/--Orders-Issued. Financial sanction</t>
  </si>
  <si>
    <t xml:space="preserve">http://tnagrisnet.tn.gov.in/fcms/documents/go/15-agri_e_ms_277_h2_2022.pdf</t>
  </si>
  <si>
    <t xml:space="preserve">259</t>
  </si>
  <si>
    <t xml:space="preserve">Agriculture and Farmers Welfare Announcement made by the Hon'ble Minister for Agriculture and Farmers Welfare - "Electric motor pump-sets with subsidy" scheme at an outlay of Rs.5.00 crore to provide subsidy assistance of Rs.10000/- to 5000 farmers for purchase of new electric motor pumpsets or replacement of old inefficient electric motor pumpsets - Orders Issued.</t>
  </si>
  <si>
    <t xml:space="preserve">H (1) 2</t>
  </si>
  <si>
    <t xml:space="preserve">http://tnagrisnet.tn.gov.in/fcms/documents/go/15-agri_e_ms_259_h1_2022.pdf</t>
  </si>
  <si>
    <t xml:space="preserve">248</t>
  </si>
  <si>
    <t xml:space="preserve">வேளாண்மை உழவர் நலத்துறை வேளாண்மை நிதிநிலை அறிக்கை 2022 2023 முதலமைச்சரின் மானாவாரி நில மேம்பாட்டு இயக்கம் 2022-2023 ஆம் நிதியாண்டில் ரூ.87.10 கோடி நிதியில் செயல்படுத்துதல் மாநில நிதி ரூ.45.75 கோடி நிதி ஒப்பளிப்பு வழங்குதல் பிற திட்ட நிதி ரூ4135 கோடியினை பயன்படுத்த அனுமதி வழிகாட்டு நெறிமுறைகளை அங்கீகரித்தல் ஆணை வெளியிடப்படுகிறது</t>
  </si>
  <si>
    <t xml:space="preserve">http://tnagrisnet.tn.gov.in/fcms/documents/go/23-agri_t_ms_248_dpap_2022.pdf</t>
  </si>
  <si>
    <t xml:space="preserve">244</t>
  </si>
  <si>
    <t xml:space="preserve">TAWDEVA</t>
  </si>
  <si>
    <t xml:space="preserve">Agriculture and Farmers Welfare - Implementation of Watershed Development Component of Pradhan Mantri Krishi Sinchayee Yojana 2.0 (WDC-PMKSY 2.0) in 7 districts of Tamil Nadu - Administrative sanction for a sum of Rs.160.77 Crore for the year 2022-2023 and Financial sanction (1st instalment) for an amount of Rs.35.70 Crore for the year 2022-2023-Orders - Issued.</t>
  </si>
  <si>
    <t xml:space="preserve">DPAP</t>
  </si>
  <si>
    <t xml:space="preserve">http://tnagrisnet.tn.gov.in/fcms/documents/go/23-agri_e_ms_244_dpap_2022.pdf</t>
  </si>
  <si>
    <t xml:space="preserve">228</t>
  </si>
  <si>
    <t xml:space="preserve">Agri Engineering</t>
  </si>
  <si>
    <t xml:space="preserve">Agriculture and Farmers Welfare - Agricultural Engineering Central Assistance Scheme of "Sub Mission on Agricultural Mechanization" Administrative sanction and Financial sanction for an amount of Rs.3505.67 Lakh towards 1 Instalment for the implementation of Sub Mission on Agricultural Mechanization (SMAM) during the year 2022-2023-Accorded-Orders - Issued.</t>
  </si>
  <si>
    <t xml:space="preserve">AE 1</t>
  </si>
  <si>
    <t xml:space="preserve">http://tnagrisnet.tn.gov.in/fcms/documents/go/23-agri_e_ms_228_ae1_2022.pdf</t>
  </si>
  <si>
    <t xml:space="preserve">227</t>
  </si>
  <si>
    <t xml:space="preserve">Agriculture and Farmers Welfare Implementation of Rainfed Area Development (RAD) component of RKVY-RAFTAAR for the year 2022-23- Administrative Sanction for a Sum of Rs.4900.00 lakh and Financial Sanction for a Sum of Rs.1202.36 lakh - Permission to utilize Rs.400 lakh of Administrative funds for Implementation of RAD Scheme components - Orders Issued.</t>
  </si>
  <si>
    <t xml:space="preserve">AP 5</t>
  </si>
  <si>
    <t xml:space="preserve">http://tnagrisnet.tn.gov.in/fcms/documents/go/23-agri_e_ms_227_ap5_2022.pdf</t>
  </si>
  <si>
    <t xml:space="preserve">224</t>
  </si>
  <si>
    <t xml:space="preserve">Agriculture and Farmers Welfare - Implementation of Coconut Development Board assisted schemes during the year 2022-2023 for a sum of Rs.1315.63 lakh Administrative approval - Accorded-Orders - Issued.</t>
  </si>
  <si>
    <t xml:space="preserve">http://tnagrisnet.tn.gov.in/fcms/documents/go/23-agri_e_ms_224_2022.pdf</t>
  </si>
  <si>
    <t xml:space="preserve">205</t>
  </si>
  <si>
    <t xml:space="preserve">வேளாண்மை-உழவர் நலத்துறை வேளாண்மை நிதிநிலை அறிக்கை 2022-23 அறிவிப்புகள் மானிய விலையில் பனை விதைகள் விநியோகம். பனையேறும் இயந்திரங்கள். மதிப்புக்கூட்டு பனைபொருள் தயாரிப்பு உபகரணங்கள் வழங்குதல் மற்றும் பனைபொருள் தயாரிப்புக் கூடம் அமைத்தல், பனை விவசாயிகளுக்கு பயிற்சியளித்தல் மற்றும் சிறந்த பனையேறும் இயந்திரம் கண்டுபிடிப்பாளருக்கு விருதளித்து கெளரவித்தல் ஆணைகள் வெளியிடப்படுகின்றன</t>
  </si>
  <si>
    <t xml:space="preserve">தோக1(2)</t>
  </si>
  <si>
    <t xml:space="preserve">http://tnagrisnet.tn.gov.in/fcms/documents/go/23-agri_t_205_2022.pdf</t>
  </si>
  <si>
    <t xml:space="preserve">199</t>
  </si>
  <si>
    <t xml:space="preserve">Agriculture and Farmers Welfare Crop Yield Competition for Traditional Paddy Varieties for the year 2022-2023 Conferring "Bharat Ratna Dr. M.G.R. Traditional Rice Variety Conservator Award"- Administrative Sanction for a sum of Rs.2.30 lakh - Orders - Issued.</t>
  </si>
  <si>
    <t xml:space="preserve">http://tnagrisnet.tn.gov.in/fcms/documents/go/23-agri_e_ms_199_ap4_2022.pdf</t>
  </si>
  <si>
    <t xml:space="preserve">153</t>
  </si>
  <si>
    <t xml:space="preserve">Agriculture and Farmers Welfare - Administrative Approval and Financial Sanction for a sum of Rs.7.246 Crore for implementation of "Sustainable Cotton Cultivation Mission" for the year 2022-23 Orders - Issued</t>
  </si>
  <si>
    <t xml:space="preserve">http://tnagrisnet.tn.gov.in/fcms/documents/go/23-agri_e_ms_153_ap4_2022.pdf</t>
  </si>
  <si>
    <t xml:space="preserve">151</t>
  </si>
  <si>
    <t xml:space="preserve">Agriculture and Farmers Welfare Mandating the use of Aadhaar to identify beneficiary of Schemes implemented by Government Departments - Notification in pursuance of section 7 of the Aadhaar (Targeted Delivery of Financial and Other Subsidies, Benefits and Services) Act, 2016 (Central Act 18 of 2016) - Notification Issued</t>
  </si>
  <si>
    <t xml:space="preserve">http://tnagrisnet.tn.gov.in/fcms/documents/go/23-agri_e_ms_151_ap2_2022.pdf</t>
  </si>
  <si>
    <t xml:space="preserve">G.O.(Ms).No.138</t>
  </si>
  <si>
    <t xml:space="preserve">வேளாண்மை-உழவர் நலத் துறை– 2022-2023 ஆம் ஆண்டிற்கான வேளாண்மை நிதிநிலை அறிக்கை அறிவிப்புகள் – பல்வேறு திட்டக் கூறுகளை உள்ளடக்கிய “மாநில வேளாண்மை வளர்ச்சித் திட்டம்” – திட்டச் செயலாக்கத்திற்காக ரூ.51.0225 கோடி நிதி ஒப்பளிப்பு மற்றும் வழிகாட்டு நெறிமுறைகள்- வெளியிடுதல்</t>
  </si>
  <si>
    <t xml:space="preserve">திட்டம்</t>
  </si>
  <si>
    <t xml:space="preserve">http://tnagrisnet.tn.gov.in/fcms/documents/go/04-agri_t_ms_138_dpap_2022.pdf</t>
  </si>
  <si>
    <t xml:space="preserve">G.O.(Ms).No.63</t>
  </si>
  <si>
    <t xml:space="preserve">Agriculture and Farmers Welfare - Tamil Nadu Agricultural University - Announcement made by the Hon'ble Chief Minister - Sanction of tuition fee, Hostel fee and all other fees including counseling fee for the students getting admission into Agricultural Professional courses through 7.5% seats on preferential basis for government school students</t>
  </si>
  <si>
    <t xml:space="preserve">TNAU</t>
  </si>
  <si>
    <t xml:space="preserve">http://tnagrisnet.tn.gov.in/fcms/documents/go/04-agri_e_ms_63_au_2022.pdf</t>
  </si>
  <si>
    <t xml:space="preserve">61</t>
  </si>
  <si>
    <t xml:space="preserve">Agricultural Engineering Department (AED) - Tractor Hiring Scheme - Fixation of hire charges for Agricultural Engineering Machinery</t>
  </si>
  <si>
    <t xml:space="preserve">AED</t>
  </si>
  <si>
    <t xml:space="preserve">http://tnagrisnet.tn.gov.in/fcms/documents/go/21-agri_e_ms_61_ae1_2022.pdf</t>
  </si>
  <si>
    <t xml:space="preserve">45</t>
  </si>
  <si>
    <t xml:space="preserve">Agricultural Engineering - Chief Minister's Scheme of Solar Powered pumpsets - Implementation of 5000 nos of Standalone Solar pumping Programme under PM-KUSUM</t>
  </si>
  <si>
    <t xml:space="preserve">http://tnagrisnet.tn.gov.in/fcms/documents/go/21-agri_e_ms_45_ae1_2022.pdf</t>
  </si>
  <si>
    <t xml:space="preserve">G.O.(Ms.) No.34</t>
  </si>
  <si>
    <t xml:space="preserve">National Food Security Mission - Revised Administrative Approval for a sum of Rs.6133.540 lakh and Financial sanction for a sum of Rs.1457.617 lakh as 2nd instalment for Implementation of National Food Security Mission - Rice, Pulses, Coarse Cereals and Nutri Cereals for the year 2021-22</t>
  </si>
  <si>
    <t xml:space="preserve">GOI</t>
  </si>
  <si>
    <t xml:space="preserve">http://tnagrisnet.tn.gov.in/fcms/documents/go/29-agri_e_ms_34_ap4_2022.pdf</t>
  </si>
  <si>
    <t xml:space="preserve">G.O.(Ms.) No.33</t>
  </si>
  <si>
    <t xml:space="preserve">National Food Security Mission (NFSM) - Revised Administrative Approval for a sum of Rs.325.000 lakh and Financial sanction for a sum of Rs.70.833 lakh as 2nd instalment for Implementation of National Food Security Mission Commercial Crops Cotton for the year 2021-22 Orders</t>
  </si>
  <si>
    <t xml:space="preserve">http://tnagrisnet.tn.gov.in/fcms/documents/go/29-agri_e_ms_33_ap4_2022.pdf</t>
  </si>
  <si>
    <t xml:space="preserve">G.O (2D) N0.14</t>
  </si>
  <si>
    <t xml:space="preserve">Implementattion of Price Support Scheme (PSS) - Procurement of Green Gram thorugh National Agricultural Cooperative Marketing Federation of India during Rabi 2021-22</t>
  </si>
  <si>
    <t xml:space="preserve">POS</t>
  </si>
  <si>
    <t xml:space="preserve">http://tnagrisnet.tn.gov.in/fcms/documents/go/21-agri_e_2d_14_ap4_2022.pdf</t>
  </si>
  <si>
    <t xml:space="preserve">G.O (2D) N0.13</t>
  </si>
  <si>
    <t xml:space="preserve">Implementation of Price Support Scheme(PSS) - Procurement of Black Gram thorugh NAFED during Rabi 2021-22</t>
  </si>
  <si>
    <t xml:space="preserve">http://tnagrisnet.tn.gov.in/fcms/documents/go/21-agri_e_2d_13_ap4_2022.pdf</t>
  </si>
  <si>
    <t xml:space="preserve">G.O (2D) No. 4</t>
  </si>
  <si>
    <t xml:space="preserve">Notification of Tamil Nadu State Agricultural Marketing Board as State Level Supporter, Marketing Committees as Primary Procurement Agencies and Regulated Market as Primary Procurement Centres for procurement of Copra under Price Support Scheme (PSS) during 2022</t>
  </si>
  <si>
    <t xml:space="preserve">OPC</t>
  </si>
  <si>
    <t xml:space="preserve">http://tnagrisnet.tn.gov.in/fcms/documents/go/21-agri_e_2d_4_h2_2022.pdf</t>
  </si>
  <si>
    <t xml:space="preserve">G.O. (Ms.) No.20</t>
  </si>
  <si>
    <t xml:space="preserve">Agricultural Engineering - Central Assistance Scheme of "Sub Mission on Agricultural Mechanization - Krishi Kalyan Abhiyan III (Phase-II) 2021-22- 1st Instalment for the implementation of Sub Mission. on Agricultural Mechanization (SMAM) - During 2021-2022 Administrative and Financial Sanction for a sum of Rs.88.00 Lakh</t>
  </si>
  <si>
    <t xml:space="preserve">http://tnagrisnet.tn.gov.in/fcms/documents/go/29-agri_e_ms_20_ae1_2022.pdf</t>
  </si>
  <si>
    <t xml:space="preserve">G.O.(Ms.) No.15</t>
  </si>
  <si>
    <t xml:space="preserve">Agricultural Engineering - Pradhan Mantri Krishi Sinchayee Yojana (PMKSY) - Har Khet Ko Pani (HKKP) - Ground Water Irrigation - Revised Administrative sanction for an amount of Rs.912.78 lakh and Financial Sanction for an amount of Rs.269.70 lakh as Second Instalment during the year 2021-2022</t>
  </si>
  <si>
    <t xml:space="preserve">http://tnagrisnet.tn.gov.in/fcms/documents/go/29-agri_e_ms_15_ae1_2022.pdf</t>
  </si>
  <si>
    <t xml:space="preserve">G.O (Ms.) No.12</t>
  </si>
  <si>
    <t xml:space="preserve">"Creation of 500 Farm Ponds to catch the rainwater in farm lands - Included in KAGVVT scheme during 2021-2022</t>
  </si>
  <si>
    <t xml:space="preserve">http://tnagrisnet.tn.gov.in/fcms/documents/go/29-agri_e_ms_12_ae2_2022.pdf</t>
  </si>
  <si>
    <t xml:space="preserve">G.O.(Ms.) No.7</t>
  </si>
  <si>
    <t xml:space="preserve">Recognition of Best Performing Farmers in new local Agri Techniques and Machineries, Organic Farming Practices and Agro Exports Administrative approval and Financial sanction for a sum of Rs.6.00 lakh</t>
  </si>
  <si>
    <t xml:space="preserve">AIW</t>
  </si>
  <si>
    <t xml:space="preserve">http://tnagrisnet.tn.gov.in/fcms/documents/go/29-agri_e_ms_7_ap4_2022.pdf</t>
  </si>
  <si>
    <t xml:space="preserve">G.O.(Ms.) No.6</t>
  </si>
  <si>
    <t xml:space="preserve">Agricultural Engineering Department - Scheme of "Electric motor pumpsets with subsidy" - Administrative and Financial sanction for an amount of Rs.1.00 crore</t>
  </si>
  <si>
    <t xml:space="preserve">http://tnagrisnet.tn.gov.in/fcms/documents/go/29-agri_e_ms_6_ae1_2022.pdf</t>
  </si>
  <si>
    <t xml:space="preserve">G.O(Ms) No.230</t>
  </si>
  <si>
    <t xml:space="preserve">Special Incentive to Sugarcane Farmers @ Rs.150/M.T. for 2020-21</t>
  </si>
  <si>
    <t xml:space="preserve">S1</t>
  </si>
  <si>
    <t xml:space="preserve">http://tnagrisnet.tn.gov.in/fcms/documents/go/08-agri_e_ms_230_s1_2021.pdf</t>
  </si>
  <si>
    <t xml:space="preserve">G.O(Ms) No.201</t>
  </si>
  <si>
    <t xml:space="preserve">Sub Mission on Agricultural Mechanization</t>
  </si>
  <si>
    <t xml:space="preserve">AE1</t>
  </si>
  <si>
    <t xml:space="preserve">http://tnagrisnet.tn.gov.in/fcms/documents/go/08-agri_e_ms_201_ae1_2021.pdf</t>
  </si>
  <si>
    <t xml:space="preserve">G.O(Ms) No.188</t>
  </si>
  <si>
    <t xml:space="preserve">Sustainable Cotton Cultivation Mission - 2021-22</t>
  </si>
  <si>
    <t xml:space="preserve">CDC</t>
  </si>
  <si>
    <t xml:space="preserve">http://tnagrisnet.tn.gov.in/fcms/documents/go/08-agri_e_ms_188_ap4_2021.pdf</t>
  </si>
  <si>
    <t xml:space="preserve">G.O(Ms) No.184</t>
  </si>
  <si>
    <t xml:space="preserve">Implementation of NFSM - Rice, Pulses, Coarse cereals and Nutri cereals</t>
  </si>
  <si>
    <t xml:space="preserve">http://tnagrisnet.tn.gov.in/fcms/documents/go/08-agri_e_ms_184_ap4_2021.pdf</t>
  </si>
  <si>
    <t xml:space="preserve">G.O(Ms) No.177</t>
  </si>
  <si>
    <t xml:space="preserve">Implementation of 5000 Nos. of Standalone Solar Pumping Programme under PM-KUSUM Scheme</t>
  </si>
  <si>
    <t xml:space="preserve">http://tnagrisnet.tn.gov.in/fcms/documents/go/08-agri_e_ms_177_ae1_2021.pdf</t>
  </si>
  <si>
    <t xml:space="preserve">G.O(Ms) No.172</t>
  </si>
  <si>
    <t xml:space="preserve">Special Package for increasing the productivity in coconut through INM</t>
  </si>
  <si>
    <t xml:space="preserve">http://tnagrisnet.tn.gov.in/fcms/documents/go/08-agri_e_ms_172_h2_2021.pdf</t>
  </si>
  <si>
    <t xml:space="preserve">G.O(Ms) No.160</t>
  </si>
  <si>
    <t xml:space="preserve">Integrated Horticulture Development Scheme 2021-2022</t>
  </si>
  <si>
    <t xml:space="preserve">http://tnagrisnet.tn.gov.in/fcms/documents/go/08-agri_e_ms_160_h2_2021.pdf</t>
  </si>
  <si>
    <t xml:space="preserve">G.O(Ms) No.162</t>
  </si>
  <si>
    <t xml:space="preserve">Developing infrastructure facilities to increase the capacity of Seed Production in TNAU</t>
  </si>
  <si>
    <t xml:space="preserve">AU</t>
  </si>
  <si>
    <t xml:space="preserve">http://tnagrisnet.tn.gov.in/fcms/documents/go/08-agri_e_ms_162_au_2021.pdf</t>
  </si>
  <si>
    <t xml:space="preserve">G.O(2D) No.161</t>
  </si>
  <si>
    <t xml:space="preserve">Implementation of Project proposals of Department of Agricultural Marketing and Agri Business under RKVY-RAFTAAR for the year 2021-22</t>
  </si>
  <si>
    <t xml:space="preserve">http://tnagrisnet.tn.gov.in/fcms/documents/go/08-agri_e_2d_161_ap1_2021.pdf</t>
  </si>
  <si>
    <t xml:space="preserve">G.O(2D) No.162</t>
  </si>
  <si>
    <t xml:space="preserve">Implementation of Project proposals of Department of Agriculture under RKVY-RAFTAAR for the year 2021-22</t>
  </si>
  <si>
    <t xml:space="preserve">http://tnagrisnet.tn.gov.in/fcms/documents/go/08-agri_e_2d_162_ap1_2021.pdf</t>
  </si>
  <si>
    <t xml:space="preserve">154</t>
  </si>
  <si>
    <t xml:space="preserve">TamilNadu Mission on sustainable Green Cover in Farm Lands (TNMSGCF)</t>
  </si>
  <si>
    <t xml:space="preserve">RFS</t>
  </si>
  <si>
    <t xml:space="preserve">http://tnagrisnet.tn.gov.in/fcms/documents/go/26-TNMSGCFGO154.pdf</t>
  </si>
  <si>
    <t xml:space="preserve">G.O(Ms) No.153</t>
  </si>
  <si>
    <t xml:space="preserve">PM-KUSUM Scheme -Component 'B' -Provision of Solar powered pumping systems up to capacity of 10 hp with subsidy assistance sanction received for 2019-2020</t>
  </si>
  <si>
    <t xml:space="preserve">http://tnagrisnet.tn.gov.in/fcms/documents/go/08-agri_e_ms_153_ae1_2021_0.pdf</t>
  </si>
  <si>
    <t xml:space="preserve">G.O(2D) No.159</t>
  </si>
  <si>
    <t xml:space="preserve">Implementation of Project of Agricultural Engineering Department under RKVY-RAFTAAR for the year 2021-22</t>
  </si>
  <si>
    <t xml:space="preserve">http://tnagrisnet.tn.gov.in/fcms/documents/go/08-agri_e_2d_159_ap1_2021.pdf</t>
  </si>
  <si>
    <t xml:space="preserve">G.O(Ms) No.150</t>
  </si>
  <si>
    <t xml:space="preserve">Central Assistance Scheme of "Sub Mission on Agricultural Mechanization"</t>
  </si>
  <si>
    <t xml:space="preserve">http://tnagrisnet.tn.gov.in/fcms/documents/go/08-agri_e_ms_150_ae1_2021.pdf</t>
  </si>
  <si>
    <t xml:space="preserve">G.O(Ms) No.152</t>
  </si>
  <si>
    <t xml:space="preserve">Mission for Integrated Development of Horticulture for 2021-2022</t>
  </si>
  <si>
    <t xml:space="preserve">H1</t>
  </si>
  <si>
    <t xml:space="preserve">http://tnagrisnet.tn.gov.in/fcms/documents/go/08-agri_e_ms_152_h1_2021.pdf</t>
  </si>
  <si>
    <t xml:space="preserve">G.O(D) No.171</t>
  </si>
  <si>
    <t xml:space="preserve">Special Scheme for Sugarcane Production</t>
  </si>
  <si>
    <t xml:space="preserve">http://tnagrisnet.tn.gov.in/fcms/documents/go/08-agri_e_d_171_sc_2021.pdf</t>
  </si>
  <si>
    <t xml:space="preserve">G.O(2D) No.155</t>
  </si>
  <si>
    <t xml:space="preserve">Implementation of projects of Department of Horticulture and Plantation Crops under RKVY-RAFTAAR /NADP</t>
  </si>
  <si>
    <t xml:space="preserve">http://tnagrisnet.tn.gov.in/fcms/documents/go/08-agri_e_2d_155_ap1_2021.pdf</t>
  </si>
  <si>
    <t xml:space="preserve">G.O(Ms) No.136</t>
  </si>
  <si>
    <t xml:space="preserve">Transitional Production Incentive to sugarcane farmers 2020-2021 crushing season</t>
  </si>
  <si>
    <t xml:space="preserve">http://tnagrisnet.tn.gov.in/fcms/documents/go/08-agri_e_ms_136_s1_2021.pdf</t>
  </si>
  <si>
    <t xml:space="preserve">G.O(D) No.143</t>
  </si>
  <si>
    <t xml:space="preserve">Implementation of RPMFBY adopting Co-Insurance Model of 80:20 proportionate sharing basis</t>
  </si>
  <si>
    <t xml:space="preserve">CIS</t>
  </si>
  <si>
    <t xml:space="preserve">http://tnagrisnet.tn.gov.in/fcms/documents/go/08-agri_e_d_143_ap2_2021.pdf</t>
  </si>
  <si>
    <t xml:space="preserve">G.O(D) No.140</t>
  </si>
  <si>
    <t xml:space="preserve">RPMFBY</t>
  </si>
  <si>
    <t xml:space="preserve">http://tnagrisnet.tn.gov.in/fcms/documents/go/08-agri_e_d_140_ap2_2021.pdf</t>
  </si>
  <si>
    <t xml:space="preserve">G.O(D) No.141</t>
  </si>
  <si>
    <t xml:space="preserve">Implementation of RPMFBY during Kharif, Rabi &amp; Special seasons of 2021-22</t>
  </si>
  <si>
    <t xml:space="preserve">http://tnagrisnet.tn.gov.in/fcms/documents/go/08-agri_e_d_141_ap2_2021.pdf</t>
  </si>
  <si>
    <t xml:space="preserve">G.O(Ms) No.112</t>
  </si>
  <si>
    <t xml:space="preserve">PM-KUSUM Scheme</t>
  </si>
  <si>
    <t xml:space="preserve">http://tnagrisnet.tn.gov.in/fcms/documents/go/08-agri_e_ms_112_ae1_2021.pdf</t>
  </si>
  <si>
    <t xml:space="preserve">G.O(D) No.102</t>
  </si>
  <si>
    <t xml:space="preserve">Kuruvai Package in Delta Districts</t>
  </si>
  <si>
    <t xml:space="preserve">P&amp;amp;amp;M</t>
  </si>
  <si>
    <t xml:space="preserve">http://tnagrisnet.tn.gov.in/fcms/documents/go/08-agri_e_d_102_ap1_2021.pdf</t>
  </si>
  <si>
    <t xml:space="preserve">G.O.(2D).No.106</t>
  </si>
  <si>
    <t xml:space="preserve">Agriculture-Augmenting Pulses Production-Extending production assistance to more than 10 years old varieties of pulses certified seeds-Enhanced production subsidy during 2021-22 -sanction a sum of Rs.225.00 Lakh -Order-Issued</t>
  </si>
  <si>
    <t xml:space="preserve">http://tnagrisnet.tn.gov.in/fcms/documents/go/28-GO.106(1).pdf</t>
  </si>
  <si>
    <t xml:space="preserve">G.O(Ms) No.83</t>
  </si>
  <si>
    <t xml:space="preserve">PM-KUSUM Scheme -Implementation of Solar Powered Pumping Systems up to capacity of 10 hp to farmers</t>
  </si>
  <si>
    <t xml:space="preserve">http://tnagrisnet.tn.gov.in/fcms/documents/go/08-agri_e_ms_83_ae1_2021.pdf</t>
  </si>
  <si>
    <t xml:space="preserve">G.O(Ms) No.81</t>
  </si>
  <si>
    <t xml:space="preserve">Central Assistance scheme of "Sub Mission on Agricultural Mechanization"</t>
  </si>
  <si>
    <t xml:space="preserve">http://tnagrisnet.tn.gov.in/fcms/documents/go/08-agri_e_ms_81_ae1_2021.pdf</t>
  </si>
  <si>
    <t xml:space="preserve">G.O.(2D).No.66</t>
  </si>
  <si>
    <t xml:space="preserve">Agriculture - Implementation of National Food Security Mission - Sanction of a sum of Rs.2216.633 lakh as second installment for the year 2020-21 and revalidation of the unspent balance of 2019-20 to the tune of Rs.416.399 lakh - Orders - Issued.</t>
  </si>
  <si>
    <t xml:space="preserve">GOI-2</t>
  </si>
  <si>
    <t xml:space="preserve">http://tnagrisnet.tn.gov.in/fcms/documents/go/29-G.O.(2D).No.66,Agriculture(AP4)Departmentdated19.03.2021.pdf</t>
  </si>
  <si>
    <t xml:space="preserve">G.O(Ms) No.51</t>
  </si>
  <si>
    <t xml:space="preserve">http://tnagrisnet.tn.gov.in/fcms/documents/go/08-agri_e_ms_51_ae1_2021.pdf</t>
  </si>
  <si>
    <t xml:space="preserve">G.O(2D) No.44</t>
  </si>
  <si>
    <t xml:space="preserve">PMFBY Scheme</t>
  </si>
  <si>
    <t xml:space="preserve">http://tnagrisnet.tn.gov.in/fcms/documents/go/08-agri_e_2d_44_ap2_2021.pdf</t>
  </si>
  <si>
    <t xml:space="preserve">G.O(Ms) No.53</t>
  </si>
  <si>
    <t xml:space="preserve">Sub Mission on Agricultural Mechanization 2020-21</t>
  </si>
  <si>
    <t xml:space="preserve">http://tnagrisnet.tn.gov.in/fcms/documents/go/08-agri_e_ms_53_ae1_2021.pdf</t>
  </si>
  <si>
    <t xml:space="preserve">G.O.(D) No.36</t>
  </si>
  <si>
    <t xml:space="preserve">http://tnagrisnet.tn.gov.in/fcms/documents/go/08-agri_e_d_36_ap2_2021.pdf</t>
  </si>
  <si>
    <t xml:space="preserve">G.O(Ms) No.6</t>
  </si>
  <si>
    <t xml:space="preserve">Central Assistance Scheme of Sub Mission on Agricultural Mechanization(SMAM)</t>
  </si>
  <si>
    <t xml:space="preserve">http://tnagrisnet.tn.gov.in/fcms/documents/go/08-agri_e_ms_6_ae1_2021.pdf</t>
  </si>
  <si>
    <t xml:space="preserve">G.O.(Rt) No.5</t>
  </si>
  <si>
    <t xml:space="preserve">Implementation of RPMFBY - Rabi season 2020-2021</t>
  </si>
  <si>
    <t xml:space="preserve">http://tnagrisnet.tn.gov.in/fcms/documents/go/08-agri_e_rt_5_ap2_20221.pdf</t>
  </si>
  <si>
    <t xml:space="preserve">G.O 304</t>
  </si>
  <si>
    <t xml:space="preserve">வேளாண்மை- உழவர் நலத் துறை “பாரம்பரிய நெல் இரகங்களை பாதுகாத்துப் பயிரிடும் விவசாயிகளை ஊக்குவித்திடும் விதமாக, பாரம்பரிய முறையில் நெல் சாகுபடி செய்து அதிக மகசூல் பெற்று, மாநில அளவில் முதல் மூன்று இடங்களை பெறும் விவசாயிகளுக்கு "பாரத ரத்னா டாக்டர் எம்.ஜி.ஆர் பாரம்பரிய நெல் பாதுகாவலர் விருது வழங்குதல் - நிதி ஒப்பளிப்பு - ஆணை வெளியிடப்படுகிறது.</t>
  </si>
  <si>
    <t xml:space="preserve">வே.உ.4</t>
  </si>
  <si>
    <t xml:space="preserve">N</t>
  </si>
  <si>
    <t xml:space="preserve">http://tnagrisnet.tn.gov.in/fcms/documents/go/18-agri_t_ms_304_ap4_2022.pdf</t>
  </si>
  <si>
    <t xml:space="preserve">256</t>
  </si>
  <si>
    <t xml:space="preserve">வேளாண்மை உழவர் நலத்துறை 2021 2022 ஆம் ஆண்டிற்கான அறிவிப்புகள் மாநில அளவில், உள்ளூரில் உள்ள புதுமையான வேளாண் தொழில்நுட்பங்கள் மற்றும் வேளாண் சாதனங்களின் கண்டுபிடிப்புகளை ஊக்குவிக்கும் வகையில், விவசாயிகளுக்கு பரிசு வழங்க 2021 2022 நிதியாண்டில் ஒப்பளிப்பு செய்யப்பட்ட தொகையில் இறுதி திருத்த நிதியொதுக்கத்தில் வேளாண்மை இயக்குநரால் ஒப்படைப்பு செய்யப்பட்ட ரூ.200 இலட்சத்தினை, 2022 2023 ஆம் ஆண்டில் நிதி ஒப்பளிப்பு செய்தல் ஆணை வெளியிடப்படுகிறது.</t>
  </si>
  <si>
    <t xml:space="preserve">வே.உ 4</t>
  </si>
  <si>
    <t xml:space="preserve">http://tnagrisnet.tn.gov.in/fcms/documents/go/23-agri_t_ms_256_ap4_2022.pdf</t>
  </si>
  <si>
    <t xml:space="preserve">223</t>
  </si>
  <si>
    <t xml:space="preserve">வேளாண்மை உழவர் நலத்துறை 20222023 ஆம் ஆண்டிற்கான அறிவிப்புகள் நெல்லுக்குப்பின் பயறு சாகுபடி திட்டத்தினை செயல்படுத்திடரூ. 17.00 கோடிக்கு நிர்வாக அனுமதி மற்றும் ரூ.1137 கோடிக்கு நிதி ஒப்பளிப்பு ஆணை வெளியிடப்படுகிறது.</t>
  </si>
  <si>
    <t xml:space="preserve">வேஉ 4</t>
  </si>
  <si>
    <t xml:space="preserve">http://tnagrisnet.tn.gov.in/fcms/documents/go/23-agri_t_ms_223_2022_0.pdf</t>
  </si>
  <si>
    <t xml:space="preserve">192</t>
  </si>
  <si>
    <t xml:space="preserve">Agriculture and Farmers Welfare - Administrative Approval for an amount of Rs.231.960 lakh and Financial sanction for an amount of Rs.57.983 lakh as First instalment under Food and Nutrition Security- Commercial Crops (FNS-CC)- Cotton and Sugarcane during the year 2022-23 Orders - Issued.</t>
  </si>
  <si>
    <t xml:space="preserve">http://tnagrisnet.tn.gov.in/fcms/documents/go/23-agri_e_ms_192_ap4_2022.pdf</t>
  </si>
  <si>
    <t xml:space="preserve">191</t>
  </si>
  <si>
    <t xml:space="preserve">வேளாண்மை உழவர் நலத்துறை 2022-2023 ஆம் ஆண்டிற்கான அறிவிப்புகள்- மாநில அளவில், உள்ளூர் புதுமையான வேளாண் தொழில்நுட்பம் மற்றும் உள்ளூர் விவசாய இயந்திரங்களின் கண்டுபிடிப்புகள், வேளாண் ஏற்றுமதியில் சிறந்து விளங்கும் விவசாயிகள் மற்றும் இயற்கை முறையில் தோட்டக்கலை பயிர் சாகுபடி செய்யும் விவசாயிகளுக்கு அங்கீகாரம் அளிக்கும் விதமாக மாநில அளவிலான விருதுகள் ரூ.6.00 லட்சத்திற்கு நிர்வாக மற்றும் நிதி ஒப்பளிப்பு. ஆணை வெளியிடப்படுகிறது.வேளாண்மை உழவர் நலத்துறை 2022-2023 ஆம் ஆண்டிற்கான அறிவிப்புகள்- மாநில அளவில், உள்ளூர் புதுமையான வேளாண் தொழில்நுட்பம் மற்றும் உள்ளூர் விவசாய இயந்திரங்களின் கண்டுபிடிப்புகள், வேளாண் ஏற்றுமதியில் சிறந்து விளங்கும் விவசாயிகள் மற்றும் இயற்கை முறையில் தோட்டக்கலை பயிர் சாகுபடி செய்யும் விவசாயிகளுக்கு அங்கீகாரம் அளிக்கும் விதமாக மாநில அளவிலான விருதுகள் ரூ.6.00 லட்சத்திற்கு நிர்வாக மற்றும் நிதி ஒப்பளிப்பு. ஆணை வெளியிடப்படுகிறது.வேளாண்மை உழவர் நலத்துறை 2022-2023 ஆம் ஆண்டிற்கான அறிவிப்புகள்- மாநில அளவில், உள்ளூர் புதுமையான வேளாண் தொழில்நுட்பம் மற்றும் உள்ளூர் விவசாய இயந்திரங்களின் கண்டுபிடிப்புகள், வேளாண் ஏற்றுமதியில் சிறந்து விளங்கும் விவசாயிகள் மற்றும் இயற்கை முறையில் தோட்டக்கலை பயிர் சாகுபடி செய்யும் விவசாயிகளுக்கு அங்கீகாரம் அளிக்கும் விதமாக மாநில அளவிலான விருதுகள் ரூ.6.00 லட்சத்திற்கு நிர்வாக மற்றும் நிதி ஒப்பளிப்பு. ஆணை வெளியிடப்படுகிறது.</t>
  </si>
  <si>
    <t xml:space="preserve">http://tnagrisnet.tn.gov.in/fcms/documents/go/23-agri_t_ms_191_ap4_2022.pdf</t>
  </si>
  <si>
    <t xml:space="preserve">181</t>
  </si>
  <si>
    <t xml:space="preserve">Agriculture and Farmers Welfare State Level and District Level Crop Yield Competition for the year 2021-2022- Financial sanction for a sum of Rs.20.85 lakh - towards distribution of prize amount to winners of the Competition during 2022-2023- Accorded - orders - Issued.</t>
  </si>
  <si>
    <t xml:space="preserve">http://tnagrisnet.tn.gov.in/fcms/documents/go/23-agri_e_ms_181_ap4_2022.pdf</t>
  </si>
  <si>
    <t xml:space="preserve">2D 130</t>
  </si>
  <si>
    <t xml:space="preserve">வேளாண்மை உழவர் நலன் 2022ம் ஆண்டிற்கான குறைந்தபட்ச ஆதார விலைத் திட்டத்தின் கீழ் கோயம்புத்தூர் விற்பனைக் குழுவில் கூடுதலாக அன்னூர் மற்றும் தொண்டாமுத்தூர் ஒழுங்கு முறை விற்பனைக் கூடங்களை கொப்பரை கொள்முதல் நிலையங்களாக நியமித்து ஆணை வெளியிடப்படுகிறது.rn</t>
  </si>
  <si>
    <t xml:space="preserve">http://tnagrisnet.tn.gov.in/fcms/documents/go/23-agri_t_2d_130_h2_2022.pdf</t>
  </si>
  <si>
    <t xml:space="preserve">2D 127</t>
  </si>
  <si>
    <t xml:space="preserve">வேளாண்மை-உழவர் நலன் 2022-ம் ஆண்டிற்கான குறைந்தபட்ச ஆதார விலைத் திட்டத்தின் கீழ் கொப்பரை கொள்முதல் செய்வதற்கு தமிழ்நாடு கூட்டுறவு விற்பனை இணையத்திற்கு (TANEED) அனுமதி அளித்து ஆணை வெளியிடப்படுகிறது.rn</t>
  </si>
  <si>
    <t xml:space="preserve">http://tnagrisnet.tn.gov.in/fcms/documents/go/23-agri_t_2d_127_h2_2022.pdf</t>
  </si>
  <si>
    <t xml:space="preserve">159</t>
  </si>
  <si>
    <t xml:space="preserve">வேளாண்மை-உழவர் நலத் துறை - தமிழ்நாடு அங்ககச் சான்றளிப்புத் துறையில் (TNOCD) பதிவு செய்யப்பட்ட அங்கக விளை பொருட்களின் நம்பகத்தன்மையை 100% மாநில நிதியுதவியுடன் எஞ்சிய பூச்சிக் கொல்லிகளின் பகுப்பாய்விற்கு உட்படுத்துதல் திட்டத்தை 2022-23-ஆம் ஆண்டிலிருந்து தொடர அனுமதியும், நடப்பு ஆண்டில் செயல்படுத்த ரூ.12.50 இலட்சத்திற்கு நிதி ஒப்பளிப்பு வழங்கியும் ஆணை வெளியிடப்படுகிறது.rn</t>
  </si>
  <si>
    <t xml:space="preserve">AP5</t>
  </si>
  <si>
    <t xml:space="preserve">http://tnagrisnet.tn.gov.in/fcms/documents/go/23-agri_t_ms_159_ap5_2022.pdf</t>
  </si>
  <si>
    <t xml:space="preserve">GO.No. 13</t>
  </si>
  <si>
    <t xml:space="preserve">Agriculture - High Level Commitee constituted under the chairmanship of chief secretary to solve the farmers issue- Revised Government order issued by including Additional Chief Secretary, Water Resources Department.</t>
  </si>
  <si>
    <t xml:space="preserve">A2</t>
  </si>
  <si>
    <t xml:space="preserve">http://tnagrisnet.tn.gov.in/fcms/documents/go/11-G.O.13.pdf</t>
  </si>
  <si>
    <t xml:space="preserve">G.O(Ms) No.163</t>
  </si>
  <si>
    <t xml:space="preserve">Strengthening the research on Nano Technology by upgrading the Department of Nano Technology in TNAU</t>
  </si>
  <si>
    <t xml:space="preserve">http://tnagrisnet.tn.gov.in/fcms/documents/go/08-agri_e_ms_163_au_2021.pdf</t>
  </si>
  <si>
    <t xml:space="preserve">G.O(2D) No.152</t>
  </si>
  <si>
    <t xml:space="preserve">Distribution of Tarpaulin to reduce Post Harvest Losses in food grains</t>
  </si>
  <si>
    <t xml:space="preserve">http://tnagrisnet.tn.gov.in/fcms/documents/go/08-agri_e_2d_152_ap1_2021.pdf</t>
  </si>
  <si>
    <t xml:space="preserve">G.O(Ms) No.138</t>
  </si>
  <si>
    <t xml:space="preserve">Online booking App for hiring Agricultural Machinery</t>
  </si>
  <si>
    <t xml:space="preserve">http://tnagrisnet.tn.gov.in/fcms/documents/go/08-agri_e_ms_138_ae1_2021.pdf</t>
  </si>
  <si>
    <t xml:space="preserve">G.O(Ms) No.108</t>
  </si>
  <si>
    <t xml:space="preserve">Sugarcane -Fixation of mill-wise Fair and Remunerative Price for 2019-20 and 2020-21 sugar seasons</t>
  </si>
  <si>
    <t xml:space="preserve">http://tnagrisnet.tn.gov.in/fcms/documents/go/08-agri_e_ms_108_s1_2021.pdf</t>
  </si>
  <si>
    <t xml:space="preserve">G.O(Ms) No.68</t>
  </si>
  <si>
    <t xml:space="preserve">Procurement of Copra under PSS for the year 2021 through NAFED</t>
  </si>
  <si>
    <t xml:space="preserve">http://tnagrisnet.tn.gov.in/fcms/documents/go/08-agri_e_ms_68_h2_2021.pdf</t>
  </si>
  <si>
    <t xml:space="preserve">Reason</t>
  </si>
  <si>
    <t xml:space="preserve">G.O. No. 98</t>
  </si>
  <si>
    <t xml:space="preserve">Agricultural Marketing</t>
  </si>
  <si>
    <t xml:space="preserve">வேளாண்மை - உழவர் நலன் வேளாண்மை விற்பனை மற்றும் வேளாண் வணிகம் 2023-2024ஆம் ஆண்டுக்கான நிதிநிலை அறிக்கை - மாண்புமிகு வேளாண்மை-உழவர் நலத்துறை அமைச்சர் அவர்களின் அறிவிப்பு - 25 உழவர் சந்தைகளை ரூ.818,54 இலட்சம் மதிப்பீட்டில் மாநில அரசு நிதியுதவியுடன் புனரமைத்தல் - அனுமதி வழங்குதல் ஆணை வெளியிடப்படுகிறது.</t>
  </si>
  <si>
    <t xml:space="preserve">size 0 Kbs (empty/broken file)</t>
  </si>
  <si>
    <t xml:space="preserve">http://tnagrisnet.tn.gov.in/fcms/documents/go/agri_t_ms_98_am3_2023.pdf</t>
  </si>
  <si>
    <t xml:space="preserve">G.O. No.92</t>
  </si>
  <si>
    <t xml:space="preserve">வேளாண்மை உழவர் நலன்-வேளாண்மை விற்பனை மற்றும் வேளாண் வணிகம் 2023-2024 ஆம் ஆண்டுக்கான நிதிநிலை அறிக்கை - மாண்புமிகு வேளாண்மை- உழவர் நலத்துறை அமைச்சர் அவர்களின் அறிவிப்பு - 50 உழவர் சந்தைகளுக்கு உணவு பாதுகாப்புத் தர நிர்ணய ஆணையத்தின் சான்று (FSSAI Certificate) பெறுதல்- 25 இலட்சம் ரூபாய் செலவில் மாநில அரசு நிதியுதவியுடன் செயல்படுத்த அனுமதி வழங்குதல்-ஆணை வெளியிடப்படுகிறது.</t>
  </si>
  <si>
    <t xml:space="preserve">http://tnagrisnet.tn.gov.in/fcms/documents/go/agri_t_ms_92_am3_2023.pdf</t>
  </si>
  <si>
    <t xml:space="preserve">G.O. 91</t>
  </si>
  <si>
    <t xml:space="preserve">வேளாண்மை-உழவர் நலன் - வேளாண்மை நிதிநிலை அறிக்கை 2023-24 - பல்வேறு அறிவிப்புகள் - மாநில தோட்டக்கலை வளர்ச்சித் திட்டம் 2023-24 ன்கீழ் செயல்படுத்த ரூ.3063.523 இலட்சம் மற்றும் உயர்மதிப்பு திட்ட இனங்களில் ஆதிதிராவிடர், பழங்குடியின சிறு குறு விவசாயிகளுக்கு, கூடுதல் 20% மானியமாக வழங்க ரூ.6.13 இலட்சம் நிதி ஒப்பளிப்பு - வழங்கி - ஆணை வெளியிடப்படுகிறது.</t>
  </si>
  <si>
    <t xml:space="preserve">http://tnagrisnet.tn.gov.in/fcms/documents/go/agri_t_ms_91_h2_2023.pdf</t>
  </si>
  <si>
    <t xml:space="preserve">G.O No. 89</t>
  </si>
  <si>
    <t xml:space="preserve">வேளாண்மை-உழவர் நலத்துறை - 2023-2024 ஆம் ஆண்டு வேளாண்மை நிதி நிலை அறிக்கை அறிவிப்பு "ஏரிகளிலும் குளங்களிலும் படிந்திருக்கும் வண்டல் மண்ணை விவசாயிகள் பயன்படுத்தி மண் வளத்தை உயர்த்துவற்கு விழிப்புணர்வு ஏற்படுத்தி சிறப்பாக செயல்படும் மாவட்ட ஆட்சியருக்கு விருது வழங்குதல்" ஆணை வெளியிடப்படுகிறது.</t>
  </si>
  <si>
    <t xml:space="preserve">http://tnagrisnet.tn.gov.in/fcms/documents/go/agri_e_ms_89_ae2_2023.pdf</t>
  </si>
  <si>
    <t xml:space="preserve">G.O (Ms.).No 87</t>
  </si>
  <si>
    <t xml:space="preserve">Agricultural Engineering</t>
  </si>
  <si>
    <t xml:space="preserve">Agriculture Farmers Welfare Department - Agricultural Engineering - Agriculture Budget, 2023-2024 - "Ensering Irrigation to the tail end" during the year 2023-2024-Sanction of Rs.500.00 Lakh -Orders - Issued.</t>
  </si>
  <si>
    <t xml:space="preserve">http://tnagrisnet.tn.gov.in/fcms/documents/go/agri_e_ms_87_ae2_2023.pdf</t>
  </si>
  <si>
    <t xml:space="preserve">G.O. No. 114</t>
  </si>
  <si>
    <t xml:space="preserve">வேளாண்மை உழவர் உழவர் நலன் 2023-2024 ஆம் ஆண்டிற்கான வேளாண்மை நிதிநிலை அறிக்கை மாண்புமிகு வேளாண்மை நலத்துறை அமைச்சர் அவர்களால் அறிவிக்கப்பட்ட அறிவிப்பு வேளாண்மை விரிவாக்க மையங்களில் தொழில்நுட்பங்களை பயன்படுத்தி 348 புதிய மின்னணு வேளாண்மை விரிவாக்க மையங்களில் பணமில்லா பரிவர்த்தனை முறையினை செயல்படுத்துவது என்ற அறிவிப்பிற்கு செயலாணை வெளியிடப்படுகிறது</t>
  </si>
  <si>
    <t xml:space="preserve">http://tnagrisnet.tn.gov.in/fcms/documents/go/agri_t_d_114_ap2_2023.pdf</t>
  </si>
  <si>
    <t xml:space="preserve">G.O.Ms.No.86</t>
  </si>
  <si>
    <t xml:space="preserve">Agriculture - Farmers Welfare - Agricultural Marketing and Agri Business Announcement 2023-2024 - Organising Ten State Level Seminars on Agricultural Export Promotion -Permission - Accorded-Orders - Issued.</t>
  </si>
  <si>
    <t xml:space="preserve">http://tnagrisnet.tn.gov.in/fcms/documents/go/agri_e_ms_86_am3_2023.pdf</t>
  </si>
  <si>
    <t xml:space="preserve">G.O.No.85</t>
  </si>
  <si>
    <t xml:space="preserve">வேளாண்மை-உழவர் நலன் வேளாண்மை விற்பனை மற்றும் வேளாண் வணிகம்- 2023-2024 ஆம் ஆண்டுக்கான நிதிநிலை அறிக்கை மாண்புமிகு வேளாண்மை உழவர் நலத்துறை அமைச்சர் அவர்களின் அறிவிப்பு எண்.51 உழவர் உற்பத்தியாளர் நிறுவனங்களுக்கு சிப்பம் கட்டுதல், பயிற்சி வழங்குதல்- ஆணை வெளியிடப்படுகிறது.</t>
  </si>
  <si>
    <t xml:space="preserve">http://tnagrisnet.tn.gov.in/fcms/documents/go/agri_t_ms_85_am2_2023.pdf</t>
  </si>
  <si>
    <t xml:space="preserve">G.O. No. 112</t>
  </si>
  <si>
    <t xml:space="preserve">வேளாண்மை உழவர் நலன் 2023-2024 ஆம் ஆண்டிற்கான வேளாண்மை நிதிநிலை அறிக்கை மாண்புமிகு வேளாண்மை நலத்துறை அமைச்சர் அவர்களால் அறிவிக்கப்பட்ட அறிவிப்புகள் -தகவல் பரிமாற்றக்குழு உருவாக்கி செயல்படுத்திட வட்டார அளவில் விவசாயிகளைக் கொண்டு "வாட்ஸ் ஆப்" குழு உருவாக்குதல் ஆணை வெளியிடப்படுகிறது.</t>
  </si>
  <si>
    <t xml:space="preserve">http://tnagrisnet.tn.gov.in/fcms/documents/go/agri_t_d_112_ap2_2023.pdf</t>
  </si>
  <si>
    <t xml:space="preserve">G.O. No. 82</t>
  </si>
  <si>
    <t xml:space="preserve">வேளாண்மை-உழவர் நலன் - வேளாண்மைப் பொறியியல் துறை - 2023-24 ஆம் ஆண்டில் புதிய வேளாண்மைப் பொறியியல் தொழில் நுட்பங்களை விவசாயிகளிடையே பிரபலப்படுத்த செயல் விளக்கங்கள் / தொழில்நுட்ப பரிமாற்ற நிகழ்ச்சிகள் நடத்த அனுமதி வழங்குதல்-ஆணை வெளியிடப்படுகிறது.</t>
  </si>
  <si>
    <t xml:space="preserve">http://tnagrisnet.tn.gov.in/fcms/documents/go/agri_t_ms_82_ae1_2023.pdf</t>
  </si>
  <si>
    <t xml:space="preserve">G.O. No.83</t>
  </si>
  <si>
    <t xml:space="preserve">வேளாண்மை உழவர் நலன் - வேளாண்மைப் பொறியியல் துறை தனியாருக்குச் சொந்தமான டிராக்டர்களின் உரிமையாளர்களின் விபரங்கள் வேளாண்மை இயந்திரங்கள், கருவிகள், டீசல் பம்பு செட், மின்சார பம்பு செட், சூரிய மின்சக்தியால் இயங்கும் பம்பு செட் ஆகியவற்றை பழுது நீக்குபவர்களின் விபரங்கள்- இ-வாடகை செயலியில் பதிவேற்றம் செய்தல் -உழவன் செயலியில் இணைத்தல்- ஆணை வெளியிடப்படுகிறது.</t>
  </si>
  <si>
    <t xml:space="preserve">http://tnagrisnet.tn.gov.in/fcms/documents/go/agri_t_ms_83_ae1_2023.pdf</t>
  </si>
  <si>
    <t xml:space="preserve">G.O. No. 102</t>
  </si>
  <si>
    <t xml:space="preserve">Sugar</t>
  </si>
  <si>
    <t xml:space="preserve">வேளாண்மை உழவர் நலத் துறை 2023-2024-ஆம் ஆண்டு வேளாண்மைத் துறை மானியக் கோரிக்கை அறிவிப்பு எண்.4 - காட்டுப்பன்றி விரட்டி மருந்து (Wild Boar Repellent) 50 சதவிகித மானியத்தில் ரூ.45.00 இலட்சம் செலவில் வழங்குதல் ஆணை வெளியிடப்படுகிறது.</t>
  </si>
  <si>
    <t xml:space="preserve">http://tnagrisnet.tn.gov.in/fcms/documents/go/agri_t_d_102_s_2023.pdf</t>
  </si>
  <si>
    <t xml:space="preserve">G.O.(Ms). No.77</t>
  </si>
  <si>
    <t xml:space="preserve">Agriculture Farmers Welfare- Tamil Nadu State Agricultural Marketing Board- Budget Announcement of the Hon'ble Minister for Agriculture Farmers Welfare for the year 2023-2024 - Getting Geographical Indication for 15 Unique Crops of Tamil Nadu Permission - Accorded - Orders - Issued</t>
  </si>
  <si>
    <t xml:space="preserve">http://tnagrisnet.tn.gov.in/fcms/documents/go/agri_e_ms_77_am3_2023.pdf</t>
  </si>
  <si>
    <t xml:space="preserve">G.O. (2D) No.34</t>
  </si>
  <si>
    <t xml:space="preserve">Marketing</t>
  </si>
  <si>
    <t xml:space="preserve">Agriculture and Farmers Welfare Appointment of Tamil Nadu State Agricultural Marketing Board State Level Supporter, Market Committees as Primary Procurement Agencies and Regulated Markets as Primary Procurement Centers for procurement of Green gram under Price Support Scheme (PSS) during Rabi 2022-2023 - Orders Issued.</t>
  </si>
  <si>
    <t xml:space="preserve">http://tnagrisnet.tn.gov.in/fcms/documents/go/G-O-No-34.pdf</t>
  </si>
  <si>
    <t xml:space="preserve">G.O. (2D) No.35</t>
  </si>
  <si>
    <t xml:space="preserve">Agriculture and Farmers Welfare - Appointment of Tamil Nadu State Agricultural Marketing Board as State Level Supporter, Market Committees as Primary Procurement Agencies and Regulated Markets as Primary Procurement Centers for procurement of Black gram under Price Support Scheme (PSS) during Rabi 2022-2023 Orders Issued.</t>
  </si>
  <si>
    <t xml:space="preserve">http://tnagrisnet.tn.gov.in/fcms/documents/go/G-O-No-35.pdf</t>
  </si>
  <si>
    <t xml:space="preserve">G.O.(Ms) No.28</t>
  </si>
  <si>
    <t xml:space="preserve">Agriculture and Farmers Welfare Implementation of Laying of Demonstration Plots and Establishment of Organic Manure Unit in farmers field in Tamil Nadu during the year 2022-23 - at an outlay of Rs.212.50 lakh - Administrative approval - Accorded - Orders - Issued.</t>
  </si>
  <si>
    <t xml:space="preserve">http://tnagrisnet.tn.gov.in/fcms/documents/go/28.pdf</t>
  </si>
  <si>
    <t xml:space="preserve">G.O. (Ms). No.21</t>
  </si>
  <si>
    <t xml:space="preserve">Agriculture and Farmers Welfare Implementation of Watershed Development Component of Pradhan Mantri Krishi Sinchayee Yojana 2.0 (WDC-PMKSY 2.0) in 7 districts of Tamil Nadu -Financial sanction for an amount of Rs.35.70 Crore as 2nd instalment for the year 2022-2023- Orders Issued.</t>
  </si>
  <si>
    <t xml:space="preserve">http://tnagrisnet.tn.gov.in/fcms/documents/go/21.pdf</t>
  </si>
  <si>
    <t xml:space="preserve">G.O. (Ms).No.14</t>
  </si>
  <si>
    <t xml:space="preserve">Agriculture and Farmers Welfare - Implementation of Food and Nutrition Security (FNS)-Rice, Pulses, Coarse Cereals, Nutri Cereals, TRFA Pulses, Cotton and Sugarcane - Financial sanction for a sum of Rs.2705.051 lakh as second instalment - orders - Issued.</t>
  </si>
  <si>
    <t xml:space="preserve">http://tnagrisnet.tn.gov.in/fcms/documents/go/14-ab6c0.pdf</t>
  </si>
  <si>
    <t xml:space="preserve">G.O.(Ms) No.10</t>
  </si>
  <si>
    <t xml:space="preserve">Agriculture and Farmers Welfare - Implementation of Price Support Scheme (PSS) - Procurement of Copra under Price Support Scheme for the year 2023 through National Agricultural Cooperative Marketing Federation of India (NAFED) - Production, Sowing area, average yield, peak arrival/harvesting period -Notified.</t>
  </si>
  <si>
    <t xml:space="preserve">http://tnagrisnet.tn.gov.in/fcms/documents/go/G-O-No-10.pdf</t>
  </si>
  <si>
    <t xml:space="preserve">அரசாணை (நிலை) எண். 9</t>
  </si>
  <si>
    <t xml:space="preserve">வேளாண்மைத்துறை</t>
  </si>
  <si>
    <t xml:space="preserve">வேளாண்மை உழவர் நலன் - சிறப்பு விருது - 2021 - 22 - நெல் சாகுபடியில், திருந்திய நெல் சாகுபடி தொழில் நுட்பத்தினை கடைப்பிடித்து மாநிலத்திலேயே அதிக உற்பத்தி திறன் பெறும் விவசாயிக்கு குடியரசுத் தினத்தன்று மாண்புமிகு முதலமைச்சர் அவர்களால் திரு. சி. நாராயணசாமி நாயுடு நெல் உற்பத்தி திறனுக்கான விருது" மற்றும் பரிசு வழங்குதல் ஆணை வெளியிடப்படுகிறது.</t>
  </si>
  <si>
    <t xml:space="preserve">http://tnagrisnet.tn.gov.in/fcms/documents/go/9.pdf</t>
  </si>
  <si>
    <t xml:space="preserve">G.O. (Ms) No.01</t>
  </si>
  <si>
    <t xml:space="preserve">Agricultural Marketing and Agri Business Tamil Nadu Agricultural Produce Marketing (Regulation) Act, 1987 - Uniform Notification to declare the regulation of purchase and sale of the 40 agricultural produces in Tamil Nadu Agriculture Marketing Notification Issued Cancellation of Notification - Issued.</t>
  </si>
  <si>
    <t xml:space="preserve">http://tnagrisnet.tn.gov.in/fcms/documents/go/GO-No-1.pdf</t>
  </si>
  <si>
    <t xml:space="preserve">214</t>
  </si>
  <si>
    <t xml:space="preserve">வேளாண்மை - உழவர் நலன் - வேளாண்மைப் பொறியியல் - வேளாண்மைப் பொறியியல் துறையின் வேளாண் இயந்திரங்களுக்கான தற்போதைய வாடகைக் கட்டணத்தை 15% உயர்த்தி புதிய வாடகை கட்டணம் நிர்ணயம் செய்வதற்கு தலைமைப் பொறியாளர் வேளாண்மைப் பொறியியல்) சென்னை அவர்களுக்கு அனுமதி வழங்கி ஆணை வெளியிடப்படுகிறது.</t>
  </si>
  <si>
    <t xml:space="preserve">older than 2021</t>
  </si>
  <si>
    <t xml:space="preserve">http://tnagrisnet.tn.gov.in/fcms/documents/go/23-agri_t_214_2022.pdf</t>
  </si>
  <si>
    <t xml:space="preserve">duplicate URL</t>
  </si>
  <si>
    <t xml:space="preserve">G.O(Ms) No.323</t>
  </si>
  <si>
    <t xml:space="preserve">Implementation of Market Intervention Scheme(MIS) for Oil Palm Fresh Fruit Bunches (FFBs) procured during 2019-2020</t>
  </si>
  <si>
    <t xml:space="preserve">http://tnagrisnet.tn.gov.in/fcms/documents/go/08-agri_e_ms_323_os_2020.pdf</t>
  </si>
  <si>
    <t xml:space="preserve">G.O(Ms) No.293</t>
  </si>
  <si>
    <t xml:space="preserve">Watershed Development Programme under DPAP/IWDP</t>
  </si>
  <si>
    <t xml:space="preserve">http://tnagrisnet.tn.gov.in/fcms/documents/go/08-agri_e_ms_293_ae1_2020.pdf</t>
  </si>
  <si>
    <t xml:space="preserve">G.O(Ms) No.280</t>
  </si>
  <si>
    <t xml:space="preserve">Appointment of Valuer from the list of Empanelment of valuers maintained by TIIC</t>
  </si>
  <si>
    <t xml:space="preserve">http://tnagrisnet.tn.gov.in/fcms/documents/go/08-agri_e_ms_280_os_2020.pdf</t>
  </si>
  <si>
    <t xml:space="preserve">G.O(Ms) No.278</t>
  </si>
  <si>
    <t xml:space="preserve">Implementation of TRFA-Oilseeds under NFSM during the year 2020-21</t>
  </si>
  <si>
    <t xml:space="preserve">http://tnagrisnet.tn.gov.in/fcms/documents/go/08-agri_e_ms_278_os_2020.pdf</t>
  </si>
  <si>
    <t xml:space="preserve">G.O. (Ms) No 264</t>
  </si>
  <si>
    <t xml:space="preserve">Agriculture - Announcement made by the Honourable Deputy Chief Minister during the Budget Speech 2020-21 for the implementation of Uzhavar Aluvalar Thodarbu Thittam in the Departments of Agriculture and Horticulture and Plantation Crops - Orders - Issued</t>
  </si>
  <si>
    <t xml:space="preserve">http://tnagrisnet.tn.gov.in/fcms/documents/go/24-2020GO.pdf</t>
  </si>
  <si>
    <t xml:space="preserve">G.O(Ms) No.253</t>
  </si>
  <si>
    <t xml:space="preserve">Notification of crops and Insurance Units for Implementation of RPMFBY during Special season 2020-21</t>
  </si>
  <si>
    <t xml:space="preserve">http://tnagrisnet.tn.gov.in/fcms/documents/go/08-agri_e_ms_253_ap2_2020.pdf</t>
  </si>
  <si>
    <t xml:space="preserve">G.O(Ms) No.252</t>
  </si>
  <si>
    <t xml:space="preserve">NFSM (Oilseeds &amp; Oilpalm)</t>
  </si>
  <si>
    <t xml:space="preserve">http://tnagrisnet.tn.gov.in/fcms/documents/go/08-agri_e_ms_252_os_2020.pdf</t>
  </si>
  <si>
    <t xml:space="preserve">G.O(Ms) No.246</t>
  </si>
  <si>
    <t xml:space="preserve">Incentive to Sugarcane farmers 2019-20 crushing season</t>
  </si>
  <si>
    <t xml:space="preserve">http://tnagrisnet.tn.gov.in/fcms/documents/go/08-agri_e_ms_246_sc_2020.pdf</t>
  </si>
  <si>
    <t xml:space="preserve">G.O(Ms) No.228</t>
  </si>
  <si>
    <t xml:space="preserve">http://tnagrisnet.tn.gov.in/fcms/documents/go/08-agri_e_ms_228_os_2020.pdf</t>
  </si>
  <si>
    <t xml:space="preserve">G.O.(Ms) 201</t>
  </si>
  <si>
    <t xml:space="preserve">Agriculture - Tamil Nadu Agricultural University - Committee to Monitor Admissions - Constituted - Prescribing the functions of the Committee and fixation of sitting allowances etc. to the Chairman / Members of the Committee - Orders -Issued.</t>
  </si>
  <si>
    <t xml:space="preserve">http://tnagrisnet.tn.gov.in/fcms/documents/go/24-agri_e_ms_201_au_2020.pdf</t>
  </si>
  <si>
    <t xml:space="preserve">G.O.(Ms) 202</t>
  </si>
  <si>
    <t xml:space="preserve">Agriculture - Tamil Nadu Agricultural University - Committee to Fixation of Fee - Constituted - Prescribing the functions of the Committee and fixation of sitting allowances, etc. to the Chairman / Members of the Committee - Orders -Issued.</t>
  </si>
  <si>
    <t xml:space="preserve">http://tnagrisnet.tn.gov.in/fcms/documents/go/24-agri_e_ms_202_au_2020.pdf</t>
  </si>
  <si>
    <t xml:space="preserve">G.O.(Ms) 195</t>
  </si>
  <si>
    <t xml:space="preserve">Agriculture - Tamil Nadu Protected Agricultural Zone Development Act, 2020 - Framing of Rules - Tamil Nadu Protected Agricultural Zone Development Rules, 2020 - Notification - Issued.</t>
  </si>
  <si>
    <t xml:space="preserve">http://tnagrisnet.tn.gov.in/fcms/documents/go/24-agri_e_195_2020.pdf</t>
  </si>
  <si>
    <t xml:space="preserve">G.O.(Ms) 160</t>
  </si>
  <si>
    <t xml:space="preserve">Agriculture Department - Starting up of Agriculture and Allied Science Courses in the Institutions Deemed to be Universities - No Objection Certificate to be obtained from State Government besides getting Accreditation from Indian Council of Agricultural Research - Orders - Issued</t>
  </si>
  <si>
    <t xml:space="preserve">http://tnagrisnet.tn.gov.in/fcms/documents/go/24-agri_e_ms_160_au_2020.pdf</t>
  </si>
  <si>
    <t xml:space="preserve">G.O.(Ms) 151</t>
  </si>
  <si>
    <t xml:space="preserve">Agriculture - Cotton - Administrative approval and financial sanction for Implementation of Tamil Nadu Cotton cultivation Mission during 2020-21 - Orders - Issued.</t>
  </si>
  <si>
    <t xml:space="preserve">http://tnagrisnet.tn.gov.in/fcms/documents/go/24-agri_e_ms_151_ap4_2020.pdf</t>
  </si>
  <si>
    <t xml:space="preserve">G.O.(2D) 122</t>
  </si>
  <si>
    <t xml:space="preserve">Agriculture- scheme for Bio-Fertilizer production Units and Bio- fertilizer quality Control laboratory, Trichy- Continuance of the Schemes during the year 2020-2021- sanctioned - Orders-Issued.</t>
  </si>
  <si>
    <t xml:space="preserve">http://tnagrisnet.tn.gov.in/fcms/documents/go/24-agri_e_2d_122_ap3_2020.pdf</t>
  </si>
  <si>
    <t xml:space="preserve">G.O.(Ms) 143</t>
  </si>
  <si>
    <t xml:space="preserve">Agricultural Marketing and Agri Business - Announcement made by the Honourable Minister for Agriculture - Establishment of Kallakurichi Market Committee by bifurcating Villupuram Market Committee - Notifications under sections 3 and 9(1)(a) of the Tamil Nadu Agricultural Produce Marketing (Regulation) Act, 1987 (Tamil Nadu Act 27 of 1989) - Orders - Issued.</t>
  </si>
  <si>
    <t xml:space="preserve">http://tnagrisnet.tn.gov.in/fcms/documents/go/24-agri_e_ms_143_am2_2020.pdf</t>
  </si>
  <si>
    <t xml:space="preserve">G.O.(Ms) 144</t>
  </si>
  <si>
    <t xml:space="preserve">Agriculture Engineering - Central assistance scheme of Sub Mission on Agricultural Mechanization for 2019-20 - Government order issued - Utilisation of unspent amount of Rs.3317.03 lakh (Rs.1990.22 Lakh as GOI share and Rs.1326.81 Lakh as State share) - Implementation during 2020-21 - Permission for releasing subsidy payment to the Machinery distributed during 2019-20 - Granted - Orders - Issued</t>
  </si>
  <si>
    <t xml:space="preserve">http://tnagrisnet.tn.gov.in/fcms/documents/go/24-agri_e_ms_144_ae1_2020.pdf</t>
  </si>
  <si>
    <t xml:space="preserve">G.O.(Ms) 145</t>
  </si>
  <si>
    <t xml:space="preserve">Agriculture - Agricultural Engineering - Central Assistance Scheme of Sub Mission on Agricultural Mechanization - Administrative Sanction and Financial Sanction for implementation of Krishikalyan Abiyan-lll under SMAM during 2020-21 for an amount of Rs.352.00 lakhs - Sanctioned - Orders - Issued</t>
  </si>
  <si>
    <t xml:space="preserve">http://tnagrisnet.tn.gov.in/fcms/documents/go/24-agri_e_ms_145_ae1_2020.pdf</t>
  </si>
  <si>
    <t xml:space="preserve">G.O.(Ms) 141</t>
  </si>
  <si>
    <t xml:space="preserve">Agri - Announcements - Announcement made bythe Honble Deputy Chief Minister during the Budget Speech 2020-21 - Promotion of Collective Farming through formation of 2000 new Farmers producer Group during 2020-21 - Administrative approval and financial sanction for a sum of Rs.9544.05 crore - Sanctioned - Orders - Issued.</t>
  </si>
  <si>
    <t xml:space="preserve">http://tnagrisnet.tn.gov.in/fcms/documents/go/24-agri_e_ms_141_ap4_2020.pdf</t>
  </si>
  <si>
    <t xml:space="preserve">G.O.(Ms) 140</t>
  </si>
  <si>
    <t xml:space="preserve">Agriculture - Creation of two posts of Assistant System Analyst / Assistant System Engineer in lieu of surrendering of existing two posts of Assistant Engineer / Junior Engineer at the Office of the Chief Engineer, Agricultural Engineering - Orders - Issued.</t>
  </si>
  <si>
    <t xml:space="preserve">http://tnagrisnet.tn.gov.in/fcms/documents/go/24-agri_e_ms_140_ap2_2020.pdf</t>
  </si>
  <si>
    <t xml:space="preserve">G.O.(Ms) 138</t>
  </si>
  <si>
    <t xml:space="preserve">Agriculture- Pradhan Mantri Fasal Bima Yojana- Settlement of second installment STate Share of premium subsidy for Horticulture Crops for Kharif, 2019 season - Sanction - Orders- Issued</t>
  </si>
  <si>
    <t xml:space="preserve">http://tnagrisnet.tn.gov.in/fcms/documents/go/24-agri_e_ms_138_ap2_2020.pdf</t>
  </si>
  <si>
    <t xml:space="preserve">G.O.(Ms) 137</t>
  </si>
  <si>
    <t xml:space="preserve">Agriculture - Agricultural Engineering - Pradhan Mantri Krishi Sinchayee Yojana (PMKSY) - Har Khet Ko Pani (HKKP))- Ground Water Irrigation - Administrative Sanction for an amount of Rs.1019.84 lakh and Financial Sanction for an amount of Rs.611.90 lakh- Accorded - Orders - Issued.</t>
  </si>
  <si>
    <t xml:space="preserve">http://tnagrisnet.tn.gov.in/fcms/documents/go/24-agri_e_ms_137_ae1_2020.pdf</t>
  </si>
  <si>
    <t xml:space="preserve">G.O.(Ms) 132</t>
  </si>
  <si>
    <t xml:space="preserve">Horticulture - Tamil Nadu Horticulture Development Agency - Announcement - 2020-2021 - Establishment of Senganthal Poonga at an outlay of Rs. 5.00 crore - Orders - Issued.</t>
  </si>
  <si>
    <t xml:space="preserve">http://tnagrisnet.tn.gov.in/fcms/documents/go/24-agri_e_ms_132_h1_2020.pdf</t>
  </si>
  <si>
    <t xml:space="preserve">G.O.(Ms) 131</t>
  </si>
  <si>
    <t xml:space="preserve">Agriculture - Pradhan Mantri Fasal Bima Yojana (PMFBY) - Settlement of second instalment State share of premium subsidy for Agriculture Crops during Special season, 2019-2020 season - Sanction - Orders - Issued.</t>
  </si>
  <si>
    <t xml:space="preserve">http://tnagrisnet.tn.gov.in/fcms/documents/go/24-agri_e_ms_131_ap2_2020.pdf</t>
  </si>
  <si>
    <t xml:space="preserve">G.O.(Ms) 118</t>
  </si>
  <si>
    <t xml:space="preserve">Agriculture - RPMFBY - Notification of Crops, Districts and Insurance units for the implementation of Revamped Pradhan Mantri Fasal Bima Yojana during Kharif, 2020 season - Orders issued - Regarding.</t>
  </si>
  <si>
    <t xml:space="preserve">http://tnagrisnet.tn.gov.in/fcms/documents/go/24-agri_e_ms_118_ap2_2020.pdf</t>
  </si>
  <si>
    <t xml:space="preserve">G.O.(Ms) 96</t>
  </si>
  <si>
    <t xml:space="preserve">Agriculture-Constitution of the State Level Mass Media Monitoring Committee (SLC), District Level Mass Media Monitoring Committee (MLC) and Technical Support Groups (TSG) under Central Sector Scheme of Mass Media Support to Agriculture Extension - Amendment - Orders - Issued.</t>
  </si>
  <si>
    <t xml:space="preserve">http://tnagrisnet.tn.gov.in/fcms/documents/go/24-agri_e_ms_96_ap2_2020.pdf</t>
  </si>
  <si>
    <t xml:space="preserve">G.O.(Ms) 98</t>
  </si>
  <si>
    <t xml:space="preserve">Agriculture-Announcement made by the Honble Minister for Agriculture for Formation of Agriculture Information Wing at State and District level - Orders - Issued.</t>
  </si>
  <si>
    <t xml:space="preserve">http://tnagrisnet.tn.gov.in/fcms/documents/go/24-agri_e_ms_98_ap2_2020.pdf</t>
  </si>
  <si>
    <t xml:space="preserve">G.O.(Ms) 95</t>
  </si>
  <si>
    <t xml:space="preserve">Horticulture - Horticulture Crop Incentive Scheme for Sensitive Crops at an outlay of Rs.2500.00 lakh sanctioned - Orders issued.</t>
  </si>
  <si>
    <t xml:space="preserve">http://tnagrisnet.tn.gov.in/fcms/documents/go/24-agri_e_ms_95_h2_2020.pdf</t>
  </si>
  <si>
    <t xml:space="preserve">G.O.(Ms) 90</t>
  </si>
  <si>
    <t xml:space="preserve">Agriculture - Implementation of National e-Governance Plan in Agriculture (NeGP-A) for the year 2019-2020 in Tamil Nadu - Release of balance amount of Rs.191.37 lakh - Orders - Issued.</t>
  </si>
  <si>
    <t xml:space="preserve">http://tnagrisnet.tn.gov.in/fcms/documents/go/24-agri_e_ms_90_ap2_2020.pdf</t>
  </si>
  <si>
    <t xml:space="preserve">G.O.(Ms) 81</t>
  </si>
  <si>
    <t xml:space="preserve">Agriculture - Sugarcane - Payment of transport cost incurred by the Sugar Mills for the procurement of Sugar cane from the field to mills for crushing during 2018-19 crushing season - Sanction - Orders - Issued.</t>
  </si>
  <si>
    <t xml:space="preserve">http://tnagrisnet.tn.gov.in/fcms/documents/go/24-agri_e_ms_81_sc_2020.pdf</t>
  </si>
  <si>
    <t xml:space="preserve">G.O.(Ms) 77</t>
  </si>
  <si>
    <t xml:space="preserve">Agriculture - Oilseeds - Oilpalm Development Programme in Tamil Nadu - Reconstitution of Statutory Project Management Committee including members from other entrepreneurs under Section 3(10 of the Tamil Nadu Oilpalm (Regulation of Production and Processing) Act, 1994 for a further period of 3 years - Orders - Issued</t>
  </si>
  <si>
    <t xml:space="preserve">http://tnagrisnet.tn.gov.in/fcms/documents/go/24-agri_e_ms_77_os_2020.pdf</t>
  </si>
  <si>
    <t xml:space="preserve">G.O.(Ms) 76</t>
  </si>
  <si>
    <t xml:space="preserve">Agriculture - Implementation of National Food Security Mission (Oilseeds and Oilpalm) - 2019-2020 - Sanction of 2nd installment for Rs.212.00 lakh during the year 2019-2020 - Orders - Issued</t>
  </si>
  <si>
    <t xml:space="preserve">http://tnagrisnet.tn.gov.in/fcms/documents/go/24-agri_e_ms_76_aos_2020.pdf</t>
  </si>
  <si>
    <t xml:space="preserve">G.O.(Ms) 75</t>
  </si>
  <si>
    <t xml:space="preserve">Agriculture Department - Sub Mission on Agricultural Mechanization (SMAM) - 2019-2020 Orders issued for implementation SMAM - Component - 3 Financial assistance for procurement of Agricultural Machinery and Equipment - Demand of Agricultural Machinery revised in DBT Portal - Amendment - Orders - Issued.</t>
  </si>
  <si>
    <t xml:space="preserve">http://tnagrisnet.tn.gov.in/fcms/documents/go/24-agri_e_ms_75_ae1_2020.pdf</t>
  </si>
  <si>
    <t xml:space="preserve">G.O.(Ms) 67</t>
  </si>
  <si>
    <t xml:space="preserve">Agriculture - Implementation of National e-Governance Plan in Agriculture ( NeGP-A) for the year 2019-2020 in Tamil Nadu Administrative and Financial sanction - Orders -Issued.</t>
  </si>
  <si>
    <t xml:space="preserve">http://tnagrisnet.tn.gov.in/fcms/documents/go/24-agri_e_ms_67_ap2_2020.pdf</t>
  </si>
  <si>
    <t xml:space="preserve">G.O.(Ms) 59</t>
  </si>
  <si>
    <t xml:space="preserve">Agri - NFSM (OS and OP) - Revalidation of unspent balance of Rs.374.952 lakh pertaining to 2018-19 and authorization to utilize the revalidated amount during 2019-20 for implementation of NFSM-Oilseeds, Oilpalm and Tree Borne Oilseeds - Orders - Issued.</t>
  </si>
  <si>
    <t xml:space="preserve">http://tnagrisnet.tn.gov.in/fcms/documents/go/24-agri_e_ms_59_os_2020.pdf</t>
  </si>
  <si>
    <t xml:space="preserve">G.O.(Ms) 60</t>
  </si>
  <si>
    <t xml:space="preserve">Agriculture - Pradhan Mantri Fasal Bima Yojana (PMFBY) - Settlement of first instalment State share of premium subsidy for Horticulture Crops during Rabi, 2019-2020 season - Sanction - Orders - Issued.</t>
  </si>
  <si>
    <t xml:space="preserve">http://tnagrisnet.tn.gov.in/fcms/documents/go/24-agri_e_ms_60_ap2_2020.pdf</t>
  </si>
  <si>
    <t xml:space="preserve">G.O.(Ms) 48</t>
  </si>
  <si>
    <t xml:space="preserve">Agriculture - Empanelment of Agricultural machinery implemented during the year 2012-13 - Distributed under National Food Security Mission and Cereal Development Programme - Refund of Security Deposit - Sanctioned - Orders Issued.</t>
  </si>
  <si>
    <t xml:space="preserve">http://tnagrisnet.tn.gov.in/fcms/documents/go/24-agri_e_ms_48_ap4_2020.pdf</t>
  </si>
  <si>
    <t xml:space="preserve">G.O.(2D) 22</t>
  </si>
  <si>
    <t xml:space="preserve">Agriculture - Pesticide Testing Laboratories - Implementation of the Scheme during 2019-20 - Orders - Issued.</t>
  </si>
  <si>
    <t xml:space="preserve">http://tnagrisnet.tn.gov.in/fcms/documents/go/24-agri_e_2d_22_ap5_2020.pdf</t>
  </si>
  <si>
    <t xml:space="preserve">G.O.(Ms) 19</t>
  </si>
  <si>
    <t xml:space="preserve">Agriculture - Implementation of Targeting Rice Fallow Area (TRFA) - Oilseeds under National Food Security Mission (OS and OP) during the year 2019-20 - Administrative approval and Financial Sanction - Orders - Issued.</t>
  </si>
  <si>
    <t xml:space="preserve">http://tnagrisnet.tn.gov.in/fcms/documents/go/24-agri_e_ms_19_os_2020.pdf</t>
  </si>
  <si>
    <t xml:space="preserve">G.O.(Ms) 3</t>
  </si>
  <si>
    <t xml:space="preserve">Agriculture Education - TNAU - Constitution of Committee to Monitor Admissions made by the private colleges of Agriculture and allied subjects affiliated with TNAU - Orders - Issued.</t>
  </si>
  <si>
    <t xml:space="preserve">http://tnagrisnet.tn.gov.in/fcms/documents/go/24-agri_e_ms_3_au_2020.pdf</t>
  </si>
  <si>
    <t xml:space="preserve">G.O.(Ms) 4</t>
  </si>
  <si>
    <t xml:space="preserve">Agriculture Education - TNAU - Constitution of Committee on Fixation of Fee in respect of private colleges of Agriculture and allied subjects affiliated with TNAU - Orders - Issued.</t>
  </si>
  <si>
    <t xml:space="preserve">http://tnagrisnet.tn.gov.in/fcms/documents/go/24-agri_e_ms_4_au_2020.pdf</t>
  </si>
  <si>
    <t xml:space="preserve">G.O.(Ms) 2</t>
  </si>
  <si>
    <t xml:space="preserve">Agriculture - Seed Processing Unit - Revision of Processing and Tagging Charges for seeds - Orders - Issued.</t>
  </si>
  <si>
    <t xml:space="preserve">http://tnagrisnet.tn.gov.in/fcms/documents/go/24-agri_e_ms_2_ap3_2020.pdf</t>
  </si>
  <si>
    <t xml:space="preserve">GO (D) NO 256, AGRICULTURE DEPARTMENT DATED 19.11.2019</t>
  </si>
  <si>
    <t xml:space="preserve">PMFBY - RABI 2019-20 - NOTIFICATION OF CROPS</t>
  </si>
  <si>
    <t xml:space="preserve">http://tnagrisnet.tn.gov.in/fcms/documents/go/30-ilovepdf_merged.pdf</t>
  </si>
  <si>
    <t xml:space="preserve">G.o.Ms.No 222</t>
  </si>
  <si>
    <t xml:space="preserve">PMFBY - SPECIAL SEASON - 2019-20 - NOTIFICATION - REG</t>
  </si>
  <si>
    <t xml:space="preserve">http://tnagrisnet.tn.gov.in/fcms/documents/go/30-G_O_MS_No_222DT_24_9_2019.pdf</t>
  </si>
  <si>
    <t xml:space="preserve">G.O.Ms.No 155</t>
  </si>
  <si>
    <t xml:space="preserve">AGRICULTURE - NATIONAL E GOVERNANCE PLAN FOR AGRICULTURE - SECOND INSTALLMENT RELEASE - REG</t>
  </si>
  <si>
    <t xml:space="preserve">http://tnagrisnet.tn.gov.in/fcms/documents/go/02-NEGPA2018-19IIINSTALLSCGO.pdf</t>
  </si>
  <si>
    <t xml:space="preserve">G.O (2D) No 85</t>
  </si>
  <si>
    <t xml:space="preserve">AGRICULTURE - SANCTION OF ADDITIONAL FUNDS UNDER RKVY</t>
  </si>
  <si>
    <t xml:space="preserve">http://tnagrisnet.tn.gov.in/fcms/documents/go/20-GO85.pdf</t>
  </si>
  <si>
    <t xml:space="preserve">G.O.Ms .No. 64</t>
  </si>
  <si>
    <t xml:space="preserve">AGRICULTURE - IMPLEMENTATION OF NATIONAL E GOVERNANCE PLAN FOR AGRICULTURE</t>
  </si>
  <si>
    <t xml:space="preserve">http://tnagrisnet.tn.gov.in/fcms/documents/go/20-G.O.MS.No.64(AP2)dated07.03.2019(2018-19IIins).pdf</t>
  </si>
  <si>
    <t xml:space="preserve">G.O.Ms No.223, Agriculture (OS) Department</t>
  </si>
  <si>
    <t xml:space="preserve">Agriculture - Implementation of National Food Security Mission (Oilseeds &amp; Oilpalm) during 2018-19- Administrative approval</t>
  </si>
  <si>
    <t xml:space="preserve">http://tnagrisnet.tn.gov.in/fcms/documents/go/11-1streleseGO.pdf</t>
  </si>
  <si>
    <t xml:space="preserve">GO Ms 156</t>
  </si>
  <si>
    <t xml:space="preserve">Horticulture- TANHODA -Announcement -2018-19- creation of 2 lakh sqm colour capsicum Poly green house cluster at an outlay of Rs.935 lakhs in Krishnagiri at 50% assistance under NHM- MIDH during 2018-19 -orders- issued</t>
  </si>
  <si>
    <t xml:space="preserve">http://tnagrisnet.tn.gov.in/fcms/documents/go/04-GO156.pdf</t>
  </si>
  <si>
    <t xml:space="preserve">GO Ms 157</t>
  </si>
  <si>
    <t xml:space="preserve">Horticulture- TANHODA announcement -2018-19-Establishment of Centre of Excellence for Traditional Flowers at an outlay of Rs.200.00 lakhs in Madurai during 2018-19 -orders -issued</t>
  </si>
  <si>
    <t xml:space="preserve">http://tnagrisnet.tn.gov.in/fcms/documents/go/04-GO157.pdf</t>
  </si>
  <si>
    <t xml:space="preserve">GO Ms 151</t>
  </si>
  <si>
    <t xml:space="preserve">Horticulture- Centrally sponsored scheme on NHM under MIDH during 2018-19 -Release of first instalment of Rs.2500 lakh by GOI-Sanction and release a sum of Rs. 4166.67 lakhs including state share of 1666.67 lakhs ( 60 % central and 40% state share ) as first installment- orders- issued</t>
  </si>
  <si>
    <t xml:space="preserve">http://tnagrisnet.tn.gov.in/fcms/documents/go/04-G.O151.pdf</t>
  </si>
  <si>
    <t xml:space="preserve">Ms ,no 128</t>
  </si>
  <si>
    <t xml:space="preserve">Horticulture-Centrally sponsored scheme on NHM under MIDH during 2017-18 -Release of Rs.2000 lakhs by GOI as 3 rd installment -Sanctioned Rs. 2254.13 lakhs as 3 rd installment -sanction and release of balance 3 rd installment of Rs. 1079.21 lakhs -orders- issued</t>
  </si>
  <si>
    <t xml:space="preserve">http://tnagrisnet.tn.gov.in/fcms/documents/go/21-G.O.No.128-3rdinstall.pdf</t>
  </si>
  <si>
    <t xml:space="preserve">Ms .no.94</t>
  </si>
  <si>
    <t xml:space="preserve">Horticulture-Centrally Sponsored Scheme on NHM programme under MIDH during 2017-18 -Release of third installment of Rs.2000.00 Lakhs by GOI- sanction and release a sum of Rs.2254.13 lakhs as third installment -orders-issued</t>
  </si>
  <si>
    <t xml:space="preserve">http://tnagrisnet.tn.gov.in/fcms/documents/go/02-GO94NHM28.03.18.pdf</t>
  </si>
  <si>
    <t xml:space="preserve">G.O.(Ms.) No 48</t>
  </si>
  <si>
    <t xml:space="preserve">National Mission on Oilseeds and Oilpalm (NMOOP) during 2017-18</t>
  </si>
  <si>
    <t xml:space="preserve">http://tnagrisnet.tn.gov.in/fcms/documents/go/05-G.ONo48dated27.02.2018.pdf</t>
  </si>
  <si>
    <t xml:space="preserve">Ms. 40</t>
  </si>
  <si>
    <t xml:space="preserve">Horticulture- Centrally sponsored scheme on NHM programmed under MIDH 2017-18- Release of second instalment of Rs. 2127.400 lakhs by GOI-Sanction and release a sum of Rs. 3545.6667 lakhs (60% central and 40 % state share) as second instalment-Orders- issued</t>
  </si>
  <si>
    <t xml:space="preserve">http://tnagrisnet.tn.gov.in/fcms/documents/go/05-G.O40-NHM15.02.2018.pdf</t>
  </si>
  <si>
    <t xml:space="preserve">GO (Ms) 21</t>
  </si>
  <si>
    <t xml:space="preserve">Agriculture-TANHODA- Programme Funded by Directorate of Cashewnut and Cocoa Development (DCCD)-Cocoa Development Programme in Tamil Nadu under MIDH 2017-18 - State Matching Share for Rs.16.80 lakhs-Sanction 0rders-issued</t>
  </si>
  <si>
    <t xml:space="preserve">http://tnagrisnet.tn.gov.in/fcms/documents/go/04-G.O.No.NHM21.pdf</t>
  </si>
  <si>
    <t xml:space="preserve">Ms.No. 320</t>
  </si>
  <si>
    <t xml:space="preserve">Agriculture- Notification of Crops, Districts ,Firkas and Revenue villages for Agriculture and Horticulture Crops for Rabi 2017-18 season umder PMFBY and publication in the state Gazette -orders- issued</t>
  </si>
  <si>
    <t xml:space="preserve">http://tnagrisnet.tn.gov.in/fcms/documents/go/05-Rabi2017G.O.pdf</t>
  </si>
  <si>
    <t xml:space="preserve">G.O.(Ms.) No 281</t>
  </si>
  <si>
    <t xml:space="preserve">NFSM - Additional Area coverage for pulses production</t>
  </si>
  <si>
    <t xml:space="preserve">http://tnagrisnet.tn.gov.in/fcms/documents/go/20-GO281Dated16.11.2017(1).pdf</t>
  </si>
  <si>
    <t xml:space="preserve">Ms.No.259</t>
  </si>
  <si>
    <t xml:space="preserve">Agriculture- Thanjavur,Thiruvarur,Nagapattinam districts and Cuddalore,Pudukottai,Ariyalur, Trichy and Karur districts of delta region -Samba Package 2017- sanction of Rs.41.15 Crores-Sanctioned- ordered</t>
  </si>
  <si>
    <t xml:space="preserve">http://tnagrisnet.tn.gov.in/fcms/documents/go/23-SambaG.O..pdf</t>
  </si>
  <si>
    <t xml:space="preserve">Ms.No.210</t>
  </si>
  <si>
    <t xml:space="preserve">Agriculture-Horticulture- TANHODA- Implementation of Micro Irrigation under PMKSY during 2017-18 - First Instalment of Rs.48236.25 lakhs- Released- orders- issued .</t>
  </si>
  <si>
    <t xml:space="preserve">http://tnagrisnet.tn.gov.in/fcms/documents/go/21-GO210PMKSY(2).pdf</t>
  </si>
  <si>
    <t xml:space="preserve">G.O.Ms.No. 164</t>
  </si>
  <si>
    <t xml:space="preserve">AGRICULTURE - PROMOTION OF COLLECTIVE FARMING BY ORGANISING SMALL AND MARGINAL FARMERS INTO FARMER INTEREST GROUPS</t>
  </si>
  <si>
    <t xml:space="preserve">http://tnagrisnet.tn.gov.in/fcms/documents/go/20-agri_e_ms_164_ap4_2017.pdf</t>
  </si>
  <si>
    <t xml:space="preserve">G.O Ms.No.144</t>
  </si>
  <si>
    <t xml:space="preserve">Agriculture-Thanjavur,Thiruvarur,Nagapattinam Districts and Part of Trichy ,Ariyalur and Cuddalore of Delta Districts - Kuruvai Package 2017 -Rd. 56.92 lakhs sanction -ordered-</t>
  </si>
  <si>
    <t xml:space="preserve">http://tnagrisnet.tn.gov.in/fcms/documents/go/22-G.O144P&amp;M.pdf</t>
  </si>
  <si>
    <t xml:space="preserve">G.O (Ms) no. 36</t>
  </si>
  <si>
    <t xml:space="preserve">Agriculture Department -Horticulture -TANHODA- Time bound Implementation Micro Irrigation of "Per Drop More crop" component under PMKSY -procedure to be followed by Dept.of Agriculture, Horticulture , Agricultural engineering and TNAU - orders -issued</t>
  </si>
  <si>
    <t xml:space="preserve">http://tnagrisnet.tn.gov.in/fcms/documents/go/21-jpg2pdf.pdf</t>
  </si>
  <si>
    <t xml:space="preserve">G.O.(Ms).no.31</t>
  </si>
  <si>
    <t xml:space="preserve">Mission on Sustainable Dry Land Agriculture - Amendment</t>
  </si>
  <si>
    <t xml:space="preserve">http://tnagrisnet.tn.gov.in/fcms/documents/go/20-jpg2pdf(1).pdf</t>
  </si>
  <si>
    <t xml:space="preserve">G.O.(Ms).no.29</t>
  </si>
  <si>
    <t xml:space="preserve">Special package for Pulses Cultivation in Potential Districts</t>
  </si>
  <si>
    <t xml:space="preserve">http://tnagrisnet.tn.gov.in/fcms/documents/go/20-GO.No.29-2(2).pdf</t>
  </si>
  <si>
    <t xml:space="preserve">G.O.(Ms).no.14</t>
  </si>
  <si>
    <t xml:space="preserve">Mission on Sustainable Dryland Agriculture in TamilNadu</t>
  </si>
  <si>
    <t xml:space="preserve">http://tnagrisnet.tn.gov.in/fcms/documents/go/20-jpg2pdf.pdf</t>
  </si>
  <si>
    <t xml:space="preserve">G.O.(Ms). No. 341</t>
  </si>
  <si>
    <t xml:space="preserve">Agriculture- Centrally Sponsored Scheme- Implementation of National e-Governance Plan for Agriculture (NeGP-A) at a cost of Rs. 247.38 lakh during 2016-2017-Sanctioned-Orders-Issued.</t>
  </si>
  <si>
    <t xml:space="preserve">http://tnagrisnet.tn.gov.in/fcms/documents/go/30-NewDoc.pdf</t>
  </si>
  <si>
    <t xml:space="preserve">Letter (Ms) No. 232</t>
  </si>
  <si>
    <t xml:space="preserve">Agriculture Department - Agricultural Engineering - Schemes shared between Centre and State - Command Area Develpoment and Water Management Programme - Three New Projects sanctioned by Government during 2015-2016 - Administrative and financial sanction of</t>
  </si>
  <si>
    <t xml:space="preserve">http://tnagrisnet.tn.gov.in/fcms/documents/go/16-agri_e_lrms_232_ae1_2015.pdf</t>
  </si>
  <si>
    <t xml:space="preserve">G.O ( 2 D) No .105</t>
  </si>
  <si>
    <t xml:space="preserve">Horticulture-Training to farmers through Horticulture Training centres during 2016-17 at an outlay of Rs.7.50 lakh-orders- issued</t>
  </si>
  <si>
    <t xml:space="preserve">http://tnagrisnet.tn.gov.in/fcms/documents/go/18-2d105.pdf-Tr.pdf</t>
  </si>
  <si>
    <t xml:space="preserve">GO.(Ms) No.263</t>
  </si>
  <si>
    <t xml:space="preserve">Agriculture-110 announcement-NADP/ RKVY -2016-17-Implementation of the project proposals of Department of Horticulture and Plantation Crops- Administrative sanction for Rs. 1673.855 lakh and sanction of Rs.836.9275 lakh- orders issued</t>
  </si>
  <si>
    <t xml:space="preserve">http://tnagrisnet.tn.gov.in/fcms/documents/go/14-G.O(Ms.)No.263.pdf</t>
  </si>
  <si>
    <t xml:space="preserve">G.O.(Ms). No. 243</t>
  </si>
  <si>
    <t xml:space="preserve">Agriculture-Implementation of National Food Security Mission Commercial Crops-Cotton and Sugarcane during 2016-17-Administrative Approval and Release of first installment-sanctioned-orders-Issued</t>
  </si>
  <si>
    <t xml:space="preserve">http://tnagrisnet.tn.gov.in/fcms/documents/go/15-agri_e_ms_243_ap4_2016.pdf</t>
  </si>
  <si>
    <t xml:space="preserve">G.O.(Ms). No. 242</t>
  </si>
  <si>
    <t xml:space="preserve">Agriculture-TAWDEVA-Implementation of Watershed Development Fund (WDF) scheme assisted by NABARD-Financial sanction of Rs. 6.5407 Crores for implementing 41 Projects which are now under full implementation phase (FIP)Stage under WDF for the year 2016-17</t>
  </si>
  <si>
    <t xml:space="preserve">http://tnagrisnet.tn.gov.in/fcms/documents/go/15-agri_e_ms_242_wd1_2016.pdf</t>
  </si>
  <si>
    <t xml:space="preserve">G.O.(Ms). No. 240</t>
  </si>
  <si>
    <t xml:space="preserve">Agriculture-Plant protection-Fixation of Sale price of Bio Control Agents Produced in Bio Control Labs and Integrated Pest Management Centres-Formula Framed-orders-Issued</t>
  </si>
  <si>
    <t xml:space="preserve">http://tnagrisnet.tn.gov.in/fcms/documents/go/15-agri_e_ms_240_ap5_2016.pdf</t>
  </si>
  <si>
    <t xml:space="preserve">G.O.(Ms). No. 234</t>
  </si>
  <si>
    <t xml:space="preserve">Agriculture-Coconut Development Board Assisted Schemes 2016-2017-Integrated Farming in Coconut Holding for productivity Improvement-Laying out of Demonstration Plots (new &amp;maintenance)-For maintenance plots of 250 ha- fund released by Coconut Development</t>
  </si>
  <si>
    <t xml:space="preserve">http://tnagrisnet.tn.gov.in/fcms/documents/go/15-agri_e_ms_234_h2_2016.pdf</t>
  </si>
  <si>
    <t xml:space="preserve">G.O.(2D) No. 82</t>
  </si>
  <si>
    <t xml:space="preserve">Agriculture-Plant Protection Scheme-Distribution of Bio-Control Agents/Bio-Pesticides and sale through Agricultural Extension Centre-Implementation of the scheme at a cost of Rs. 24.74 lakh during 2016-17 - Orders Issued.</t>
  </si>
  <si>
    <t xml:space="preserve">http://tnagrisnet.tn.gov.in/fcms/documents/go/14-agri_e_2d_82_ap5_2016.pdf</t>
  </si>
  <si>
    <t xml:space="preserve">G.O.(D) No 166</t>
  </si>
  <si>
    <t xml:space="preserve">Agricuture Department-Agricultural Engineering-Implementation of the scheme of"Provision of Solar powered Pumping System linked with appropriate Micro Irrigation System (Drip/Sprinklers) at a total cost of Rs 100.00 crores as a Pilot Project in Tamil Nadu</t>
  </si>
  <si>
    <t xml:space="preserve">http://tnagrisnet.tn.gov.in/fcms/documents/go/14-agri_e_d_166_ae1_2016.pdf</t>
  </si>
  <si>
    <t xml:space="preserve">Letter (Ms) No. 229</t>
  </si>
  <si>
    <t xml:space="preserve">Agriculture Department-Agricultural Engineering-Installation of model grid solar power photovoltaic power plant without battery for capacity of 31kwp in the office of the Chief Engineer(Agricultural Engineering), Nandanam,Chennai-2015-2016-Authori</t>
  </si>
  <si>
    <t xml:space="preserve">http://tnagrisnet.tn.gov.in/fcms/documents/go/16-agri_e_lrms_229_ae1_2016.pdf</t>
  </si>
  <si>
    <t xml:space="preserve">Letter (Ms) No. 227</t>
  </si>
  <si>
    <t xml:space="preserve">Agriculture-Schemes implemented during 2015-16-Revalidation for the unspent balance under Soil Health Management under National Mission for Sustainable Agriculture (NMSA)-Regarding</t>
  </si>
  <si>
    <t xml:space="preserve">http://tnagrisnet.tn.gov.in/fcms/documents/go/15-agri_e_lrms_227_ap5_2016.pdf</t>
  </si>
  <si>
    <t xml:space="preserve">G.O.(Ms) No. 225</t>
  </si>
  <si>
    <t xml:space="preserve">Seed Certification</t>
  </si>
  <si>
    <t xml:space="preserve">Agriculture-Department of Seed Certification and organic certification-fixing analytical fee for testing the seed sample and issue of orange International certificate and Blue International Certificate by the seed Testing Laboratory, Coimbatore-Orders-Iss</t>
  </si>
  <si>
    <t xml:space="preserve">http://tnagrisnet.tn.gov.in/fcms/documents/go/14-agri_e_ms_225_ap2_2016.pdf</t>
  </si>
  <si>
    <t xml:space="preserve">G.O.(Ms). No. 220</t>
  </si>
  <si>
    <t xml:space="preserve">Agriculture-New Crop Insurance Scheme Pradhan Mantri Fasal Bima Yojana (PMFBY)Launched by Government of India for implementation in the state of Tamil Nadu from kharif 2016 (April-September)onwards-Administrative Sanction-Orders issued.</t>
  </si>
  <si>
    <t xml:space="preserve">http://tnagrisnet.tn.gov.in/fcms/documents/go/15-agri_e_ms_220_ap6_2016.pdf</t>
  </si>
  <si>
    <t xml:space="preserve">G.O.(D). No. 143</t>
  </si>
  <si>
    <t xml:space="preserve">Agriculture-Soil Survey and Land Use Plannig-Thanjavur, Vellore, Palayamkottai and Coimbatore-Continuance of the scheme activity from 01.04.2016 to 31.03.2017-Orders Issued</t>
  </si>
  <si>
    <t xml:space="preserve">http://tnagrisnet.tn.gov.in/fcms/documents/go/15-agri_e_d_143_ae2_2016.pdf</t>
  </si>
  <si>
    <t xml:space="preserve">G.O.(2D) No. 234</t>
  </si>
  <si>
    <t xml:space="preserve">Agriculture Department-Continuance of Fertilizer control Laboratory Scheme for further period of one year from 01.04.2016to 31.03.2017 - Orders Issued.</t>
  </si>
  <si>
    <t xml:space="preserve">http://tnagrisnet.tn.gov.in/fcms/documents/go/14-agri_e_2d_234_ap3_2016.pdf</t>
  </si>
  <si>
    <t xml:space="preserve">G.O.(D) No 142</t>
  </si>
  <si>
    <t xml:space="preserve">Agriculture department-Agricutural Engineering-Provision of 500 Nos. of Solar Pumps(fixed type) to the farmers with preference to Delta Districts-Sanction accorded during 2014-15 for Rs.570.90 lakhs as advance -Authorisation to utilize the amount of Rs.14</t>
  </si>
  <si>
    <t xml:space="preserve">http://tnagrisnet.tn.gov.in/fcms/documents/go/14-agri_e_lrD_142_ae1_2016.pdf</t>
  </si>
  <si>
    <t xml:space="preserve">G.O ( Ms) 212</t>
  </si>
  <si>
    <t xml:space="preserve">Agriculture-Horticulture-TANHODA- Implementation of Micro irrigation schemeunder PMKSY 2015-16-Administration sanction issued- Financial sanction and release of Rs.1919.4827 lakhs for General and SC category-orders- issued</t>
  </si>
  <si>
    <t xml:space="preserve">http://tnagrisnet.tn.gov.in/fcms/documents/go/16-agri_e_ms_212_h1_2016.pdf</t>
  </si>
  <si>
    <t xml:space="preserve">G.O ( Ms) 211</t>
  </si>
  <si>
    <t xml:space="preserve">Agriculture- Horticulture-State scheme- IHDS-2011-12-surrender of Fund amount of Rs.56,785/- to Government-orders issued-</t>
  </si>
  <si>
    <t xml:space="preserve">http://tnagrisnet.tn.gov.in/fcms/documents/go/16-agri_e_ms_211_h2_2016.pdf</t>
  </si>
  <si>
    <t xml:space="preserve">GO (Ms) No 210</t>
  </si>
  <si>
    <t xml:space="preserve">Agriculture Department - Agricultural Engineering - Central assistance scheme of "Sub Mission on Agricultural Mechanisation(SMAM) - Financial Sanction for an amount of Rs.1500.00 lakhs for formation of Farm machinery Banks for custom Hiring under Sub Mis</t>
  </si>
  <si>
    <t xml:space="preserve">http://tnagrisnet.tn.gov.in/fcms/documents/go/17-agri_e_ms_210_ae1_2016.pdf</t>
  </si>
  <si>
    <t xml:space="preserve">G.O.(2D) No. 67</t>
  </si>
  <si>
    <t xml:space="preserve">Agriculture Department-Continuance of Remote Sensing Application Mission Project on Crop and Production Estimation (CAPE) in Tamil Nadu for further period of one year from 01.04.2016 to 31.03.2017 - Orders Issued.</t>
  </si>
  <si>
    <t xml:space="preserve">http://tnagrisnet.tn.gov.in/fcms/documents/go/14-agri_e_2d_67_ae2_2016.pdf</t>
  </si>
  <si>
    <t xml:space="preserve">G.O.(Ms) No.207</t>
  </si>
  <si>
    <t xml:space="preserve">Agriculture-Horticulture- TANHODA- Implementation of Micro Irrigation schemes under PMKSY during 2015-16 -second instalment for ST category for a sum of Rs. 122.3802 lakhs- sanction orders-issued</t>
  </si>
  <si>
    <t xml:space="preserve">http://tnagrisnet.tn.gov.in/fcms/documents/go/14-agri_e_ms_207_h1_2016.pdf</t>
  </si>
  <si>
    <t xml:space="preserve">Letter (Ms) No .208</t>
  </si>
  <si>
    <t xml:space="preserve">Agriculture Department - Agricultural Engineering - Central assistance scheme of "Sub Mission on Agricultural Mechanisation for 2015-16 - Government orders issued - Utilisation of unspent amount of Rs.656.203 Lakhs - (Central share Rs.393.69 Lakhs - State</t>
  </si>
  <si>
    <t xml:space="preserve">http://tnagrisnet.tn.gov.in/fcms/documents/go/16-agri_e_lrms_208_ae1_2016.pdf</t>
  </si>
  <si>
    <t xml:space="preserve">G.O.(Ms) No. 205</t>
  </si>
  <si>
    <t xml:space="preserve">Agriculture-Horticulture- TANHODA-Implementation of Micro Irrigation scheme under PMKSY during 2015-16 -Balance amount of second instalment of Rs.5403.2395 lakhs -Accorded- Release orders-issued</t>
  </si>
  <si>
    <t xml:space="preserve">http://tnagrisnet.tn.gov.in/fcms/documents/go/14-agri_e_ms_205_h1_2016.pdf</t>
  </si>
  <si>
    <t xml:space="preserve">G.O.(Ms) No.202</t>
  </si>
  <si>
    <t xml:space="preserve">Agriculture- Horticulture- Cyclone Thane Rehabilitation -Provision of Borewells to the joint liabilities groups in Villupuram District for taking up replanting of perennial Horticulture crops-2015-2016-Sanction of Rs. 22.80 lakhs -orders-issued</t>
  </si>
  <si>
    <t xml:space="preserve">http://tnagrisnet.tn.gov.in/fcms/documents/go/14-agri_e_ms_202_h1_2016.pdf</t>
  </si>
  <si>
    <t xml:space="preserve">G.O.(Ms). No. 201</t>
  </si>
  <si>
    <t xml:space="preserve">Agriculture-Implementation of Coconut Development Board assisted schemes during 2016-17 - Administrative Approval -Accorded -orders issued.</t>
  </si>
  <si>
    <t xml:space="preserve">http://tnagrisnet.tn.gov.in/fcms/documents/go/15-agri_e_ms_201_h2_2016.pdf</t>
  </si>
  <si>
    <t xml:space="preserve">Letter (Ms) No. 197</t>
  </si>
  <si>
    <t xml:space="preserve">Agriculture-NMSA-Schemes implemented during 2015-16-Revalidation for the unspent balance under Rainfed Area Development Component-Regarding</t>
  </si>
  <si>
    <t xml:space="preserve">http://tnagrisnet.tn.gov.in/fcms/documents/go/15-agri_e_lrms_197_ap5_2016.pdf</t>
  </si>
  <si>
    <t xml:space="preserve">G.O.(Ms). No.195</t>
  </si>
  <si>
    <t xml:space="preserve">Agriculture-Sanction accorded for Rs.64.240 lakhs as second instalment by adjusting the state share fund Rs.34.264 lakh(Excess amount of first instalment)based on the Government of India's Second Instalment release with a revised sharing pattern 60:40 Cen</t>
  </si>
  <si>
    <t xml:space="preserve">http://tnagrisnet.tn.gov.in/fcms/documents/go/15-agri_e_ms_195_ap3_2016.pdf</t>
  </si>
  <si>
    <t xml:space="preserve">G.O.(2D) No. 62</t>
  </si>
  <si>
    <t xml:space="preserve">Agriculture-Bio fertilizer production units scheme-Continuance of the scheme during the year 2016-2017-Orders Issued</t>
  </si>
  <si>
    <t xml:space="preserve">http://tnagrisnet.tn.gov.in/fcms/documents/go/14-agri_e_2d_62_ap3_2016.pdf</t>
  </si>
  <si>
    <t xml:space="preserve">G.O.(2D) No. 63</t>
  </si>
  <si>
    <t xml:space="preserve">Agriculture- Continuance of the Blue Green Algae Scheme during 2016-2017-Orders Issued.</t>
  </si>
  <si>
    <t xml:space="preserve">http://tnagrisnet.tn.gov.in/fcms/documents/go/14-agri_e_2d_63_ap3_2016.pdf</t>
  </si>
  <si>
    <t xml:space="preserve">G.O.(Ms). No. 192</t>
  </si>
  <si>
    <t xml:space="preserve">Agriculture-Implementation of National Food Security Mission during 2016-17 under NFSM-Rice, NFSM-Pulses and NFSM-Coarse cereals -Administrative Approval and financial sanction -Release of first installment-sanctioned-orders-Issued</t>
  </si>
  <si>
    <t xml:space="preserve">http://tnagrisnet.tn.gov.in/fcms/documents/go/15-agri_e_ms_192_ap4_2016.pdf</t>
  </si>
  <si>
    <t xml:space="preserve">Letter (Ms) No. 193</t>
  </si>
  <si>
    <t xml:space="preserve">Agriculture-NMSA-Paramparagat Krishi Vikas Yojana (PKVY 2015-16-Authorisation to utilise the unspent balance amount during 2016-17 Regarding</t>
  </si>
  <si>
    <t xml:space="preserve">http://tnagrisnet.tn.gov.in/fcms/documents/go/15-agri_e_lrms_193_ap3_2016.pdf</t>
  </si>
  <si>
    <t xml:space="preserve">G.O.(Ms). No. 190</t>
  </si>
  <si>
    <t xml:space="preserve">Agriculture-Pradhan Mantri Krishi Sinchayee Yojana (PMKSY)-preparation of District Irrigation Plans during 2015-16 for 31 Districts-Sanction and Release of a sum of Rs.310.00Lakhs as one time Central Grant-Orders-issued.</t>
  </si>
  <si>
    <t xml:space="preserve">http://tnagrisnet.tn.gov.in/fcms/documents/go/15-agri_e_ms_190_dpap_2016.pdf</t>
  </si>
  <si>
    <t xml:space="preserve">Letter (Ms) No .137</t>
  </si>
  <si>
    <t xml:space="preserve">Agriculture-Agricultural Engineering-Construction of new office building for the Offices of the Superintending Engineer(Agricultural Engineering) and Executive Engineer(Agricultural Engineering)at Tirunelveli-Sanctioned for the financial year2014-15-Autho</t>
  </si>
  <si>
    <t xml:space="preserve">http://tnagrisnet.tn.gov.in/fcms/documents/go/16-agri_e_lrms_137_ae1_2015.pdf</t>
  </si>
  <si>
    <t xml:space="preserve">G.O.(2D) No. 60</t>
  </si>
  <si>
    <t xml:space="preserve">Agriculture-Pesticide testing laboratories-Implementation of the scheme at a total cost of Rs. 5,22,22,000/- during 2016-17 - orders Issued</t>
  </si>
  <si>
    <t xml:space="preserve">http://tnagrisnet.tn.gov.in/fcms/documents/go/14-agri_e_2d_60_ap5_2016.pdf</t>
  </si>
  <si>
    <t xml:space="preserve">G.O. (MS) No.183</t>
  </si>
  <si>
    <t xml:space="preserve">Agriculture-NADP/RKVY 2016-17-Implementation of the Project proposals of Department of Horticulture and Plantation crops-Sanction of Rs. 2851.997 lakhs -orders issued</t>
  </si>
  <si>
    <t xml:space="preserve">http://tnagrisnet.tn.gov.in/fcms/documents/go/14-G.O(Ms.)No.183.pdf</t>
  </si>
  <si>
    <t xml:space="preserve">G.O.(Ms) No. 180</t>
  </si>
  <si>
    <t xml:space="preserve">Agriculture-National Agriculture Development programme/Rashtriya Krishi Vikas Yojana 2016-17-Implementation of the Project Proposals of Department of Seed Certification &amp; organic certification-Administrative sanctioned and Financial Sanction-OrdersIssued.</t>
  </si>
  <si>
    <t xml:space="preserve">http://tnagrisnet.tn.gov.in/fcms/documents/go/14-agri_e_ms_180_ap1_2016.pdf</t>
  </si>
  <si>
    <t xml:space="preserve">G.O.(Ms). No. 179</t>
  </si>
  <si>
    <t xml:space="preserve">Agriculture-NADP-2016-17-Implementation of the project proposals of Department of Agricultural Marketing and Agri Business-Administrative Sanction and Financial Sanction -Orders-Issued.</t>
  </si>
  <si>
    <t xml:space="preserve">http://tnagrisnet.tn.gov.in/fcms/documents/go/15-agri_e_ms_179_ap1_2016.pdf</t>
  </si>
  <si>
    <t xml:space="preserve">Letter (Ms) No .175</t>
  </si>
  <si>
    <t xml:space="preserve">Agriculture Department - Agricultural Engineering - Centrally Sponsored Command Area Develpoment and Water Management Programme 2015-16 Permission for Chief Engineer (Agricultural Engineering) to incur the expenditure of budget provision during the Year 2</t>
  </si>
  <si>
    <t xml:space="preserve">http://tnagrisnet.tn.gov.in/fcms/documents/go/16-agri_e_lrms_175_ae1_2016.pdf</t>
  </si>
  <si>
    <t xml:space="preserve">G.O.(Ms). No. 169</t>
  </si>
  <si>
    <t xml:space="preserve">Agriculture-Supply Chain management of Fruits, Vegetables and other perishables in 10 Districts of Tamil Nadu-project outly-Rs. 39875.42lakhs with warehouse infrastructure fund loan of Rs. 3788.165 lakhs Administrative Sanction-Orders-Issued.</t>
  </si>
  <si>
    <t xml:space="preserve">http://tnagrisnet.tn.gov.in/fcms/documents/go/15-agri_e_ms_169_wd1_2016.pdf</t>
  </si>
  <si>
    <t xml:space="preserve">G.O.(Ms). No. 168</t>
  </si>
  <si>
    <t xml:space="preserve">AM&amp;AB-Procurement of Copra Under Price Support Scheme during 2016 by NAFED/TANFED-Permission granted-Exemption from levy of Agricultural Produce marketing Committee (APMC) Cess(1%)-Granted-orders Issued.</t>
  </si>
  <si>
    <t xml:space="preserve">http://tnagrisnet.tn.gov.in/fcms/documents/go/15-agri_e_ms_168_am3_2016.pdf</t>
  </si>
  <si>
    <t xml:space="preserve">G.O.(Ms) No. 163</t>
  </si>
  <si>
    <t xml:space="preserve">Agriculture-Department of Seed Certification and organic certification-fixation of Targets for the year 2016-2017-Orders-Issued.</t>
  </si>
  <si>
    <t xml:space="preserve">http://tnagrisnet.tn.gov.in/fcms/documents/go/14-agri_e_ms_163_ap2_2016.pdf</t>
  </si>
  <si>
    <t xml:space="preserve">G.O.(Ms). No. 159</t>
  </si>
  <si>
    <t xml:space="preserve">Agriculture-Price Support Scheme (PSS)-Oil Seeds, Pulses and Cotton implement-Procurement of Copra-Through Tamil Nadu Co-operative marketing Federation (TANFED), Agriculture Producers Co-operative marketing Societies (APCMS) and Primary Agriculture Co-ope</t>
  </si>
  <si>
    <t xml:space="preserve">http://tnagrisnet.tn.gov.in/fcms/documents/go/15-agri_e_ms_159_h2_2016.pdf</t>
  </si>
  <si>
    <t xml:space="preserve">G.O.(Ms). No. 155</t>
  </si>
  <si>
    <t xml:space="preserve">Agriculture-Announcement by Hon'ble Chief Minister on 1.6.2016 for Kuruvai Cultivation Package 2016 in Delta Districts-Sanction of funds-Orders-Issued.</t>
  </si>
  <si>
    <t xml:space="preserve">http://tnagrisnet.tn.gov.in/fcms/documents/go/15-agri_e_ms_155_ap2_2016.pdf</t>
  </si>
  <si>
    <t xml:space="preserve">GO (Ms) No 152</t>
  </si>
  <si>
    <t xml:space="preserve">Agriculture Department - Agricultural Engineering - Central assistance scheme of "Sub Mission on Agricultural Mechanisation" -Financial sanction for a sum of Rs.422.07 Lakhs for the implementation of Additional Annual Action Plan of Sub Mission on Agricul</t>
  </si>
  <si>
    <t xml:space="preserve">http://tnagrisnet.tn.gov.in/fcms/documents/go/17-agri_e_ms_152_ae1_2016.pdf</t>
  </si>
  <si>
    <t xml:space="preserve">G.O.(2D) No. 152</t>
  </si>
  <si>
    <t xml:space="preserve">Agriculture-Scheme of Bio Fertilizer Quality Control Lab, Trichy- Continuance of Scheme with Effect from 01.04.2016 to 31.3.2017-Sanctioned-Orders-Issued.</t>
  </si>
  <si>
    <t xml:space="preserve">http://tnagrisnet.tn.gov.in/fcms/documents/go/14-agri_e_2d_152_ap3_2016.pdf</t>
  </si>
  <si>
    <t xml:space="preserve">( 2 D) No ,36</t>
  </si>
  <si>
    <t xml:space="preserve">Agriculture-Horticulture -Part II (Component II) Schemes for the year 2014-15- Production and Distribution of Planting material Dendrobium (orchids) for cultivation to the farmers at nominal rate and demonstrate the orchids cultivation in Tamil Nadu-Appro</t>
  </si>
  <si>
    <t xml:space="preserve">http://tnagrisnet.tn.gov.in/fcms/documents/go/14-agri_e_2d_36_h1_2016.pdf</t>
  </si>
  <si>
    <t xml:space="preserve">G.O.(Ms). No. 146</t>
  </si>
  <si>
    <t xml:space="preserve">Agriculture-Agricultural Marketing and Agri Business-Augmenting Marketing Infrastructure in RMs at a Total Cost of Rs.83.35 Crores under NABARD/RIDF-XX Assistance-Partial Modification-Orders-issued.</t>
  </si>
  <si>
    <t xml:space="preserve">http://tnagrisnet.tn.gov.in/fcms/documents/go/15-agri_e_ms_146_wd1_2016.pdf</t>
  </si>
  <si>
    <t xml:space="preserve">GO (Ms) No 148</t>
  </si>
  <si>
    <t xml:space="preserve">Agricultural Engineering - Dam Rehabilitation and Improvement Project with World Bank assistance in Tamil Nadu - Catchment area treatment works in Kundha and Krishnagiri resorvoirs - Financial sanction accorded for the year 2015-16 - Orders Issued.</t>
  </si>
  <si>
    <t xml:space="preserve">http://tnagrisnet.tn.gov.in/fcms/documents/go/17-agri_e_ms_148_wd2_2016.pdf</t>
  </si>
  <si>
    <t xml:space="preserve">Agriculture-Centrally Sponsored Scheme-Implementation of National e-Governance plan in Agriculture(NeGP-A)during 2015-16- Financial Sanction for a sum of Rs.2,84,49,726/- (GOI share of Rs. 1,70,69,836 and State share of Rs. 1,13,79,890)-Order issued</t>
  </si>
  <si>
    <t xml:space="preserve">http://tnagrisnet.tn.gov.in/fcms/documents/go/15-agri_e_ms_146_ap6_2016.pdf</t>
  </si>
  <si>
    <t xml:space="preserve">G.O.(Ms). No. 145</t>
  </si>
  <si>
    <t xml:space="preserve">Agriculture-Pradhan Mantri Krishi Sinchayee Yojana-Constitution of State level Sanctioning Committee-District Level implementation Committee and Inter Departmental Working Group-Orders Issued-Modification -orders-issued.</t>
  </si>
  <si>
    <t xml:space="preserve">http://tnagrisnet.tn.gov.in/fcms/documents/go/15-agri_e_ms_145_dpap_2016.pdf</t>
  </si>
  <si>
    <t xml:space="preserve">G.O.(Ms). No. 144</t>
  </si>
  <si>
    <t xml:space="preserve">Agriculture-Seed processing Units-processing and tagging charges of seed-Fixed as 60 paise per Kg.-Extension of order for further 3 more years-orders-issued.</t>
  </si>
  <si>
    <t xml:space="preserve">http://tnagrisnet.tn.gov.in/fcms/documents/go/15-agri_e_ms_144_ap3_2016.pdf</t>
  </si>
  <si>
    <t xml:space="preserve">G.O.(D) No. 68</t>
  </si>
  <si>
    <t xml:space="preserve">Agriculture-Agriculture Extension Centre-Dharmapuri District Pennagaram-Papparapatti-Seed Processing unit- waiver of shortfall amount of Rs. 55,621/-Order Issued.</t>
  </si>
  <si>
    <t xml:space="preserve">http://tnagrisnet.tn.gov.in/fcms/documents/go/14-agri_e_d_68_ap3_2016.pdf</t>
  </si>
  <si>
    <t xml:space="preserve">G.O.(Ms). No. 136</t>
  </si>
  <si>
    <t xml:space="preserve">Agriculture-TAWDEVA, State Level Nodal Agency-Constitution of Committees for engagement of External Agencies at State Level Nodal Agency and District watershed Development Agency for Monitoring, Evaluation, Learning and Documentation(MEL&amp;D) of Projects un</t>
  </si>
  <si>
    <t xml:space="preserve">http://tnagrisnet.tn.gov.in/fcms/documents/go/15-agri_e_ms_136_dpap_2016.pdf</t>
  </si>
  <si>
    <t xml:space="preserve">GO (Ms) No 46</t>
  </si>
  <si>
    <t xml:space="preserve">Agriculture Department - Agricultural Engineering - Central assistance scheme of "Sub Mission on Agricultural Mechanisation" -Financial sanction for an amount of Rs.2040.83 lakhs for the implementation of - Government orders issued - Utilisation of unspen</t>
  </si>
  <si>
    <t xml:space="preserve">http://tnagrisnet.tn.gov.in/fcms/documents/go/17-agri_e_ms_46_ae1_2016.pdf</t>
  </si>
  <si>
    <t xml:space="preserve">G.O.(Ms). No. 126</t>
  </si>
  <si>
    <t xml:space="preserve">Agriculture- Pradhan Mantri Krishi Sinchayee Yojana(PMKSY)-implementation of Integrated Watershed Management Programme project under Watershed Component of PMKSY to TAWDEVA in Tamil Nadu During the year 2015-16 Orders Issued-Revised orders-Issued.</t>
  </si>
  <si>
    <t xml:space="preserve">http://tnagrisnet.tn.gov.in/fcms/documents/go/15-agri_e_ms_126_dpap_2016.pdf</t>
  </si>
  <si>
    <t xml:space="preserve">G.O.(Ms). No. 127</t>
  </si>
  <si>
    <t xml:space="preserve">Agriculture- State Level Nodal Agency- Pradhan Mantri Krishi Sinchayee Yojana(PMKSY)-other interventions for Water Conservation and Water harvesting during 2015-16-Sanctioned and Released Central Share and State Share orders issued-revised orders -issued.</t>
  </si>
  <si>
    <t xml:space="preserve">http://tnagrisnet.tn.gov.in/fcms/documents/go/15-agri_e_ms_127_dpap_2016.pdf</t>
  </si>
  <si>
    <t xml:space="preserve">G.O.(Ms) No. 121</t>
  </si>
  <si>
    <t xml:space="preserve">Agriculture- Horticulture- Centrally sponsored scheme - NHM under MIDH during 2015-2016-Third Installament of Rs. 2078.333 lakh ( GOI + state share)-Sanction -orders- issued</t>
  </si>
  <si>
    <t xml:space="preserve">http://tnagrisnet.tn.gov.in/fcms/documents/go/14-agri_e_ms_121_h1_2016.pdf</t>
  </si>
  <si>
    <t xml:space="preserve">G.O.(Ms) No. 118</t>
  </si>
  <si>
    <t xml:space="preserve">Agriculture-Horticulture- TANHODA- Implementation of Micro Irrigation Scheme under PMKSY-Administrative sanction for a Sum of Rs.1938.8714 lakhs during 2015-16 -orders- issued</t>
  </si>
  <si>
    <t xml:space="preserve">http://tnagrisnet.tn.gov.in/fcms/documents/go/14-agri_e_ms_118_h1_2016.pdf</t>
  </si>
  <si>
    <t xml:space="preserve">G.O.(Ms). No. 117</t>
  </si>
  <si>
    <t xml:space="preserve">Agriculture-Centrally Sponsored Scheme-Implementation of National e-Governance plan in Agriculture(NeGP-A) during 2015-16-Administrative Sanction for Rs.2,84,49,726/-to utilize the savings amount of Rs. 1,67,70,000/- available with Commissioner of Agricul</t>
  </si>
  <si>
    <t xml:space="preserve">http://tnagrisnet.tn.gov.in/fcms/documents/go/15-agri_e_ms_117_ap6_2016.pdf</t>
  </si>
  <si>
    <t xml:space="preserve">G.O.(Ms). No. 116</t>
  </si>
  <si>
    <t xml:space="preserve">Agriculture-Tamil Nadu Watershed Development Agency and District Watershed Development Agencies-Sanction of posts and Administrative Expenditure for the Year 2014-15 utilization of Comprehensive Wasteland Programme(CWP)/Revised Comprehensive Wasteland Pro</t>
  </si>
  <si>
    <t xml:space="preserve">http://tnagrisnet.tn.gov.in/fcms/documents/go/15-agri_e_ms_116_wd1_2016.pdf</t>
  </si>
  <si>
    <t xml:space="preserve">GO (Ms) No 119</t>
  </si>
  <si>
    <t xml:space="preserve">Agriculture Department - Agricultural Engineering-Revision/enhancement of Financial powers to the officers to Agricultural Engineering Department for technical sanction,tender approval and passing of bills etc,on par with Public Works Department -Orders -</t>
  </si>
  <si>
    <t xml:space="preserve">http://tnagrisnet.tn.gov.in/fcms/documents/go/17-agri_e_ms_119_ae1_2016.pdf</t>
  </si>
  <si>
    <t xml:space="preserve">G.O.(2D) No. 114</t>
  </si>
  <si>
    <t xml:space="preserve">Agriculture-Department of seed certification and organic certification-Fixation of testing fees for genetic purity Analysis by using DNA finger printing Technique - Order -Issued.</t>
  </si>
  <si>
    <t xml:space="preserve">http://tnagrisnet.tn.gov.in/fcms/documents/go/14-agri_e_ms_114_ap2_2016.pdf</t>
  </si>
  <si>
    <t xml:space="preserve">G.O.(Ms) No.111</t>
  </si>
  <si>
    <t xml:space="preserve">Agriculture-Horticulture- TANHODA- Implementation of Micro Irrigation scheme under PMKSY during 2015-2016 -Rs.6710.7179 lakh - Accorded- Release orders-issued .</t>
  </si>
  <si>
    <t xml:space="preserve">http://tnagrisnet.tn.gov.in/fcms/documents/go/14-agri_e_ms_111_h1_2016.pdf</t>
  </si>
  <si>
    <t xml:space="preserve">G.O.(Ms). No. 112</t>
  </si>
  <si>
    <t xml:space="preserve">Agriculture-Coconut Development Board Assisted Schemes-Integrated Farming in Coconut Holding for productivity Improvement-Laying out of Demonstration Plots (new &amp;maintenance)-during 2015-2016-financial Sanction for a sum of Rs. 21,87,500/-Accorded-Orders</t>
  </si>
  <si>
    <t xml:space="preserve">http://tnagrisnet.tn.gov.in/fcms/documents/go/15-agri_e_ms_112_h2_2016.pdf</t>
  </si>
  <si>
    <t xml:space="preserve">G.O.(Ms). No. 100</t>
  </si>
  <si>
    <t xml:space="preserve">Agriculture-AMAB-Notification-Bifurcation of Salem Regulated Market Committee into Salem and Namakkal-Deletion of 17 Villages from Sankari RM and adding the Villages to the Tiruchengode RM-Notification under Section 9(1) of Tamil Nadu Agriculture Produce</t>
  </si>
  <si>
    <t xml:space="preserve">http://tnagrisnet.tn.gov.in/fcms/documents/go/15-agri_e_ms_100_am2_2016.pdf</t>
  </si>
  <si>
    <t xml:space="preserve">G.O.(Ms). No. 99</t>
  </si>
  <si>
    <t xml:space="preserve">Agriculture-Pradhan Mantri Krishi Sinchayee Yojana(PMKSY)-Constitution of State Level Sanctioning Committee(SLSC), District Level Implementation Committee(DLIC) and inter Departmental Working Group (IDWG) Committee-Orders Issued.</t>
  </si>
  <si>
    <t xml:space="preserve">http://tnagrisnet.tn.gov.in/fcms/documents/go/15-agri_e_ms_99_dpap_2016.pdf</t>
  </si>
  <si>
    <t xml:space="preserve">G.O.(Ms) No. 94</t>
  </si>
  <si>
    <t xml:space="preserve">Agriculture-Horticulture-Cocoa new area Development under MIDH- sanctioned by Directorate of cashew and Cocoa Development to implement during 2015-2016 -Released a sum of Rs. 33.60 lakh (40%) as matching state share during the year 2015</t>
  </si>
  <si>
    <t xml:space="preserve">http://tnagrisnet.tn.gov.in/fcms/documents/go/14-agri_e_ms_94_h1_2016.pdf</t>
  </si>
  <si>
    <t xml:space="preserve">G.O.(Ms). No. 95</t>
  </si>
  <si>
    <t xml:space="preserve">Agriculture-SMAE under National Mission on Agricultural Extension and TEchnology (NMAET)-Implementation of Support to State Extension Programme for Extension Reforms Scheme(SSEPERS-ATMA) 2015-16-Sanction and Release of 2nd installment amount of Rs. 486.69</t>
  </si>
  <si>
    <t xml:space="preserve">http://tnagrisnet.tn.gov.in/fcms/documents/go/15-agri_e_ms_95_ap1_2016.pdf</t>
  </si>
  <si>
    <t xml:space="preserve">G.O.(Ms). No. 96</t>
  </si>
  <si>
    <t xml:space="preserve">Agriculture-TAWDEVA-Implementation of Watershed Development Fund (WDF) scheme assisted by NABARD-Administrative sanction for a sum Rs. 1360.65 lakhs for implementing Watershed Development fund Scheme during 2015-16 Orders issued</t>
  </si>
  <si>
    <t xml:space="preserve">http://tnagrisnet.tn.gov.in/fcms/documents/go/15-agri_e_ms_96_wd1_2016.pdf</t>
  </si>
  <si>
    <t xml:space="preserve">G.O.(2D) No. 18</t>
  </si>
  <si>
    <t xml:space="preserve">Agriculture-Bio fertilizer production units-Continuance of production and distribution of Bio fertilisers scheme-Sanction of an additional funds in 02 wages and 73 TC-Orders Issued</t>
  </si>
  <si>
    <t xml:space="preserve">http://tnagrisnet.tn.gov.in/fcms/documents/go/14-agri_e_2d_18_ap3_2016.pdf</t>
  </si>
  <si>
    <t xml:space="preserve">G.O.(Ms). No. 88</t>
  </si>
  <si>
    <t xml:space="preserve">Agriculture-Tamil Nadu State Seed Development Agency-Additional Provision of Rupees Twenty Five Crore-Sanctioned-Orders-Issued.</t>
  </si>
  <si>
    <t xml:space="preserve">http://tnagrisnet.tn.gov.in/fcms/documents/go/15-agri_e_ms_88_ap2_2016.pdf</t>
  </si>
  <si>
    <t xml:space="preserve">G.O.(Ms). No. 92</t>
  </si>
  <si>
    <t xml:space="preserve">Agriculture-NMSA-Rainfed Area Development Component -Implementation of he Scheme for the year 205-16-Sanction &amp; Release of Rs. 2805.00 lakh as second installment -Orders issued.</t>
  </si>
  <si>
    <t xml:space="preserve">http://tnagrisnet.tn.gov.in/fcms/documents/go/15-agri_e_ms_92_ap5_2016.pdf</t>
  </si>
  <si>
    <t xml:space="preserve">Letter (Ms) No. 90</t>
  </si>
  <si>
    <t xml:space="preserve">Agriculture-NADP-2015-16- Department of Agricultural Marketing and Agri Business-Sacntion of Rs. 216.00lakh-Ordered-Authorization issued.</t>
  </si>
  <si>
    <t xml:space="preserve">http://tnagrisnet.tn.gov.in/fcms/documents/go/15-agri_e_lrms_90_ap1_2016.pdf</t>
  </si>
  <si>
    <t xml:space="preserve">Letter (Ms) No. 89</t>
  </si>
  <si>
    <t xml:space="preserve">Agriculture-National Agriculture Development Programme 2015-16- Department of Agriculture-Sanction of Rs. 7650.00 Lakh-Ordered-Authorization Issued.</t>
  </si>
  <si>
    <t xml:space="preserve">http://tnagrisnet.tn.gov.in/fcms/documents/go/15-agri_e_lrms_89_ap1_2016.pdf</t>
  </si>
  <si>
    <t xml:space="preserve">Lr (Ms) No 91</t>
  </si>
  <si>
    <t xml:space="preserve">Agriculture-National Agriculture Development Programme 2015-16-Department of Agricultural Engineering-Sanction of 2110.00Lakh -Ordered-Authorisation Issued</t>
  </si>
  <si>
    <t xml:space="preserve">http://tnagrisnet.tn.gov.in/fcms/documents/go/16-agri_e_lrms_91_ap1_2016.pdf</t>
  </si>
  <si>
    <t xml:space="preserve">G.O.(Ms). No. 85</t>
  </si>
  <si>
    <t xml:space="preserve">Agriculture-AM&amp;AB--construction of IAECs in 100 Blocks of Tamil Nadu at a cost of Rs. 150.00 Crore-Permission granted to Director of AM&amp;AB for issuance of Enter upon permission in Land of 20 Regulated Markets to Director of Agriculture-Orders-Issued.</t>
  </si>
  <si>
    <t xml:space="preserve">http://tnagrisnet.tn.gov.in/fcms/documents/go/15-agri_e_ms_85_am2_2016.pdf</t>
  </si>
  <si>
    <t xml:space="preserve">G.O.(Ms). No. 82</t>
  </si>
  <si>
    <t xml:space="preserve">Agriculture-Administrative sanction accorded for construction of integrated Agricultural Extension Centres in 100 Blocks of Tamil Nadu at a cost of Rs. 150.00 Crore from NABARD-Assistance under RIDF-XX during the year 2014-2015-Sanction accorded -Amendmen</t>
  </si>
  <si>
    <t xml:space="preserve">http://tnagrisnet.tn.gov.in/fcms/documents/go/15-agri_e_ms_82_wd1_2016.pdf</t>
  </si>
  <si>
    <t xml:space="preserve">GO (Ms) No 83</t>
  </si>
  <si>
    <t xml:space="preserve">Agriculture Department - Agricultural Engineering-Theni Agricultural Engineering campus - Allocation of area to construct Tan Tea Marketing Outlet and Rent Fixation -Orders -Issued</t>
  </si>
  <si>
    <t xml:space="preserve">http://tnagrisnet.tn.gov.in/fcms/documents/go/17-agri_e_ms_83_ae1_2016.pdf</t>
  </si>
  <si>
    <t xml:space="preserve">G.O.(Ms). No. 78</t>
  </si>
  <si>
    <t xml:space="preserve">Agriculture-Agricultural Production and Grievances Committee- fixation of the post period for Non Official Members-Member of Local Assembly, Small farmer, Big Farmer, Agriculture labourur and representative from Farmer's Association- Orders Issued.</t>
  </si>
  <si>
    <t xml:space="preserve">http://tnagrisnet.tn.gov.in/fcms/documents/go/15-agri_t_ms_78_ap6_2016.pdf</t>
  </si>
  <si>
    <t xml:space="preserve">G.O.(Ms). No. 76</t>
  </si>
  <si>
    <t xml:space="preserve">Agriculture-NADP 2014-15-Establishing State Seed Farms as Model Farm By focusing Gap in Agriculture-Ordered-Amendment Issued.</t>
  </si>
  <si>
    <t xml:space="preserve">http://tnagrisnet.tn.gov.in/fcms/documents/go/15-agri_e_ms_76_ap1_2016.pdf</t>
  </si>
  <si>
    <t xml:space="preserve">G.O.(Ms) No. 75</t>
  </si>
  <si>
    <t xml:space="preserve">Horticulture-Urban Horticulture Development Scheme-DO it Yourself kit under 2015-16 - Advertisement and Transport -Rs. 37.00 lakhs- sanction accorded - orders- issued</t>
  </si>
  <si>
    <t xml:space="preserve">http://tnagrisnet.tn.gov.in/fcms/documents/go/14-agri_e_ms_75_h2_2016.pdf</t>
  </si>
  <si>
    <t xml:space="preserve">G.O.(2D) No. 12</t>
  </si>
  <si>
    <t xml:space="preserve">Agriculture-Mixture of Micronutrient fertilizers-Sale Price fixation for the Year 2015-2016-Approved-Orders-Issued</t>
  </si>
  <si>
    <t xml:space="preserve">http://tnagrisnet.tn.gov.in/fcms/documents/go/14-agri_e_2d_12_ap3_2016.pdf</t>
  </si>
  <si>
    <t xml:space="preserve">G.O.(Ms). No. 74</t>
  </si>
  <si>
    <t xml:space="preserve">Agriculture-Integrated Watershed management Programme(IWMP)-Release of balance State share of Rs. 51.6667 Crores towards implementation of IWMP under watershed component of PMKSY to TAWDEVA-in Tamil Nadu during the year 2015-16-Orders Issued.</t>
  </si>
  <si>
    <t xml:space="preserve">http://tnagrisnet.tn.gov.in/fcms/documents/go/15-agri_e_ms_74_dpap_2016.pdf</t>
  </si>
  <si>
    <t xml:space="preserve">G.O.(Ms) No. 65</t>
  </si>
  <si>
    <t xml:space="preserve">Agriculture- Horticulture-Cocoa New area Development programme under and MIDH sanctioned by Directorate of Cashew and Cocoa Development to implement during 2015-16 - Released a sum of Rs.40.00 lakhs (40 %) as matching State share during the year 2015-16</t>
  </si>
  <si>
    <t xml:space="preserve">http://tnagrisnet.tn.gov.in/fcms/documents/go/14-agri_e_ms_65_h1_2016.pdf</t>
  </si>
  <si>
    <t xml:space="preserve">G.O.(Ms) No.70</t>
  </si>
  <si>
    <t xml:space="preserve">Agriculture- Horticulture- Centrally sponsored Scheme -MIDH -NHM during 2015-16 -Second Instalment of Rs. 15,37,50,000/- by GOI share-Sanction -Orders -issued</t>
  </si>
  <si>
    <t xml:space="preserve">http://tnagrisnet.tn.gov.in/fcms/documents/go/14-agri_e_ms_70_h1_2016.pdf</t>
  </si>
  <si>
    <t xml:space="preserve">G.O.(Ms) No. 71</t>
  </si>
  <si>
    <t xml:space="preserve">Agriculture-Horticulture-TANHODA - Implementation of Micro Irrigation Scheme under PMKSY during 2015-16- Balance of First installment of Rs. 3298.9168 lakh-Accorded-Release orders-Issued-</t>
  </si>
  <si>
    <t xml:space="preserve">http://tnagrisnet.tn.gov.in/fcms/documents/go/14-agri_e_ms_71_h1_2016.pdf</t>
  </si>
  <si>
    <t xml:space="preserve">G.O.(Ms). No. 69</t>
  </si>
  <si>
    <t xml:space="preserve">Agriculture-Kuruvai Package assistance for 2015 for six Cauvery delta districts-Documentation and Propagating the mechanised paddy transplantion- Sanction of funds-Orders issued.</t>
  </si>
  <si>
    <t xml:space="preserve">http://tnagrisnet.tn.gov.in/fcms/documents/go/15-agri_e_ms_69_ap2_2016.pdf</t>
  </si>
  <si>
    <t xml:space="preserve">G.O.(D). No. 73</t>
  </si>
  <si>
    <t xml:space="preserve">Agricultural Marketing and Agri Business-Increment of Consolidated Pay amount from Rs. 3000/- to Rs. 5000 for 564 Watchmen cum Sweepers in 179 Uzhavar Sandhai-Order-Issued</t>
  </si>
  <si>
    <t xml:space="preserve">http://tnagrisnet.tn.gov.in/fcms/documents/go/15-agri_e_d_73_am1_2016.pdf</t>
  </si>
  <si>
    <t xml:space="preserve">G.O.(Ms). No. 63</t>
  </si>
  <si>
    <t xml:space="preserve">Agriculture-Establishment of DwarfxTall Coconut nursery at Vaduvur, Thenpathi II village of Needamangalam Block, Mannargudi Taluk of Thiruvarur Distrit at a cost of Rs. 69.35 lakh-Sanction and Administrative Approval-Orders-issued</t>
  </si>
  <si>
    <t xml:space="preserve">http://tnagrisnet.tn.gov.in/fcms/documents/go/15-agri_e_ms_63_h2_2016.pdf</t>
  </si>
  <si>
    <t xml:space="preserve">G.O.(2D). No. 10</t>
  </si>
  <si>
    <t xml:space="preserve">Agriculture-NABARD Warehousing Infrastructure Fund (WIF)-Establishment of Cold Chain facility and Terminal Markets at Four Places with estimated cost of Rs. 378.00 Crores- Permitted to incur expenditure from Tamil Nadu State Agricultural Marketing Board</t>
  </si>
  <si>
    <t xml:space="preserve">http://tnagrisnet.tn.gov.in/fcms/documents/go/15-agri_e_2d_10_wd1_2016.pdf</t>
  </si>
  <si>
    <t xml:space="preserve">G.O.(Ms). No. 49</t>
  </si>
  <si>
    <t xml:space="preserve">Agriculture-Pradhan Mantri krishi Sanchayee Yojana-other interventions for water conservation adn water harvesting during 2015-16- sanction and release a sum of Rs. 3096.00 lakhs as state share -orders issued.</t>
  </si>
  <si>
    <t xml:space="preserve">http://tnagrisnet.tn.gov.in/fcms/documents/go/15-agri_e_ms_49_dpap_2016.pdf</t>
  </si>
  <si>
    <t xml:space="preserve">G.O.(Ms). No. 45</t>
  </si>
  <si>
    <t xml:space="preserve">Agriculture-Administrative sanction accorded for construction of integrated Agricultural Extension Centres in 100 Blocks of Tamil Nadu at a cost of Rs. 150.00 Crore from National Bank for Agriculture and Rural Development-Assistance under Rural Infrastruc</t>
  </si>
  <si>
    <t xml:space="preserve">http://tnagrisnet.tn.gov.in/fcms/documents/go/15-agri_e_ms_45_wd1_2016.pdf</t>
  </si>
  <si>
    <t xml:space="preserve">G.O.(Ms). No. 48</t>
  </si>
  <si>
    <t xml:space="preserve">Agriculture-NFSM-Revised Administrative Approval on 60:40 sharing pattern for implementaiton of centrally sponsored scheme NFSM during 2015-16-Financial Sanciton for NFSM-Additiona area coverage for increasing pulses-Release of Second installment of fund</t>
  </si>
  <si>
    <t xml:space="preserve">http://tnagrisnet.tn.gov.in/fcms/documents/go/15-agri_e_ms_48_ap4_2016.pdf</t>
  </si>
  <si>
    <t xml:space="preserve">GO (Ms) No 47</t>
  </si>
  <si>
    <t xml:space="preserve">Agriculture Department - Agricultural Engineering - Central assistance scheme of "Sub Mission on Agricultural Mechanisation" - Sanction for an amount of Rs.110.17 lakhs being the balance State share for the implementation of Sub Mission on Agricultural Me</t>
  </si>
  <si>
    <t xml:space="preserve">http://tnagrisnet.tn.gov.in/fcms/documents/go/17-agri_e_ms_47_ae1_2016.pdf</t>
  </si>
  <si>
    <t xml:space="preserve">G.O.(Ms). No. 43</t>
  </si>
  <si>
    <t xml:space="preserve">Agriculture-Coconut Development Board Assisted Schemes-Production and Distribution of Hybrids and other released varieties for the year 2015-2016-First and final installment released by Coconut Development Board-Financial Sanction for a sum of Rs. 36.00 l</t>
  </si>
  <si>
    <t xml:space="preserve">http://tnagrisnet.tn.gov.in/fcms/documents/go/15-agri_e_ms_43_h2_2016.pdf</t>
  </si>
  <si>
    <t xml:space="preserve">G.O.(D) No. 34</t>
  </si>
  <si>
    <t xml:space="preserve">Organic certification- Imparting training to farmers/Operations regarding compliance with organic standards- Sanction o an amount of Rs. 58000 orders issued</t>
  </si>
  <si>
    <t xml:space="preserve">http://tnagrisnet.tn.gov.in/fcms/documents/go/14-agri_e_d_34_ap2_2016.pdf</t>
  </si>
  <si>
    <t xml:space="preserve">G.O.(Ms). No. 38</t>
  </si>
  <si>
    <t xml:space="preserve">Agriculture-Additional amount for augmenting Pulses Production through distribution of enhanced subsidy to the farmers for production and distribution of pulses seeds during 2015-16-Sanctioned Orders-Issued</t>
  </si>
  <si>
    <t xml:space="preserve">http://tnagrisnet.tn.gov.in/fcms/documents/go/15-agri_e_ms_38_ap4_2016.pdf</t>
  </si>
  <si>
    <t xml:space="preserve">GO (Ms) No 34</t>
  </si>
  <si>
    <t xml:space="preserve">Agriculture Department - Agricultural Engineering - Centrally Sponsored Command Area Develpoment and Water Management Programme - Implementation of five ongoing Command Area Develpoment Projects namely, Kallingarayan Anaicut Project, Manimuktha Nadhi syst</t>
  </si>
  <si>
    <t xml:space="preserve">http://tnagrisnet.tn.gov.in/fcms/documents/go/17-agri_e_ms_34_ae1_2016.pdf</t>
  </si>
  <si>
    <t xml:space="preserve">G.O.(Ms). No. 33</t>
  </si>
  <si>
    <t xml:space="preserve">Agriculture-Announcement under Rule 110 of Tamil Nadu Legislative Assembly-International Exposure Visit of Farmers to Developed countries during the year 2015-2016-permission accorded-Orders Issued.</t>
  </si>
  <si>
    <t xml:space="preserve">http://tnagrisnet.tn.gov.in/fcms/documents/go/16-agri_e_ms_33_h1_2016.pdf</t>
  </si>
  <si>
    <t xml:space="preserve">G.O.(Ms). No. 18</t>
  </si>
  <si>
    <t xml:space="preserve">Agriculture-Re introduction of NAIS on Existing patter during 2014-15-Modified NAIS under National Crop Insurance Programme for Kharif2014 and National Agriculture Insurance Scheme for Rabi 2014-15 Rs. 64.565 Crores towards settlement of 50% premium subsi</t>
  </si>
  <si>
    <t xml:space="preserve">http://tnagrisnet.tn.gov.in/fcms/documents/go/15-agri_e_ms_18_ap6_2015.pdf</t>
  </si>
  <si>
    <t xml:space="preserve">G.O.(Rt). No. 16</t>
  </si>
  <si>
    <t xml:space="preserve">Agriculture-National Agricultural Insurance Scheme-Notification of Crops, Districts, Blocks and Firkas for the implementation of NAIS for Rabi 2015-16-Notification-Orders-Issued.</t>
  </si>
  <si>
    <t xml:space="preserve">http://tnagrisnet.tn.gov.in/fcms/documents/go/15-agri_e_rt_16_ap6_2016.pdf</t>
  </si>
  <si>
    <t xml:space="preserve">Letter (Ms) No. 24</t>
  </si>
  <si>
    <t xml:space="preserve">AM&amp;AB-Establishment of Central market for Vegetables Fruits and Flowers at Kallikudi (South) Village, Srirangam Taluk,Trichy Dist -Permission Undertaken for Construction work by Engineering wing of TANSAMB and Approval of items of Works-Clarification issu</t>
  </si>
  <si>
    <t xml:space="preserve">http://tnagrisnet.tn.gov.in/fcms/documents/go/15-agri_e_lrms_24_wd1_2016.pdf</t>
  </si>
  <si>
    <t xml:space="preserve">G.O.(Ms). No. 16</t>
  </si>
  <si>
    <t xml:space="preserve">Agriculture-Special Award-Paddy Cultivation-High Yield Achieved in the State by the Farmer Tmt. P. Prasanna adopting System of Rice Intensification (SRI) technique-Awarding Special Prize and Medal on Republic Day-Orders Issued.</t>
  </si>
  <si>
    <t xml:space="preserve">http://tnagrisnet.tn.gov.in/fcms/documents/go/16-agri_e_ms_16_ap4_2016.pdf</t>
  </si>
  <si>
    <t xml:space="preserve">G.O.(Ms). No. 11</t>
  </si>
  <si>
    <t xml:space="preserve">Agriculture-Pradhan Mantri Krishi Sinchayee Yojana (PMKSY)-Other Interventions for water conservation and water harvesting during 2015-16 at the outlay of Rs. 77.40Crore-Sanction and Release a sum of Rs. 3870.00 Lakhs as 1st installment -Orders Issued.</t>
  </si>
  <si>
    <t xml:space="preserve">http://tnagrisnet.tn.gov.in/fcms/documents/go/15-agri_e_ms_11_dpap_2016.pdf</t>
  </si>
  <si>
    <t xml:space="preserve">G.O.(Ms). No. 12</t>
  </si>
  <si>
    <t xml:space="preserve">Agriculture-Integrated Watershed management Programme(IWMP)-Sanction and Release of Central, State share of Rs. 8333.33Lakhs for 1st installment of funds for implementation of IWMP under watershed component of PMKSY to TAWDEVA-2015-16-Orders Issued.</t>
  </si>
  <si>
    <t xml:space="preserve">http://tnagrisnet.tn.gov.in/fcms/documents/go/15-agri_e_ms_12_dpap_2016.pdf</t>
  </si>
  <si>
    <t xml:space="preserve">G.O.(Ms). No. 290</t>
  </si>
  <si>
    <t xml:space="preserve">Agriculture-Tamil Nadu Innovation Initiatives (TANII)-Scheme under State Innovation Fund-Amendment to G.O. (Ms) No. 233, Agriculture(AP3) Department, Dated 27.10.2015-Orders-Amendment- Issued.</t>
  </si>
  <si>
    <t xml:space="preserve">http://tnagrisnet.tn.gov.in/fcms/documents/go/15-agri_e_ms_290_ap3_2015.pdf</t>
  </si>
  <si>
    <t xml:space="preserve">G.O.(Ms). No. 286</t>
  </si>
  <si>
    <t xml:space="preserve">Agriculture-Implementation of Soil Health Card Scheme under National Mission for Sustainable Agriculture (NMSA) during 2015-16-Sacntioned-Orders-Issued.</t>
  </si>
  <si>
    <t xml:space="preserve">http://tnagrisnet.tn.gov.in/fcms/documents/go/15-agri_e_ms_286_ap4_2015.pdf</t>
  </si>
  <si>
    <t xml:space="preserve">G.O.(Ms). No. 204</t>
  </si>
  <si>
    <t xml:space="preserve">Agriculture-Crop Yield Competition-State and District Level Competitions-Continuance during 2015-2016-Sanctioned-Orders-Issued.</t>
  </si>
  <si>
    <t xml:space="preserve">http://tnagrisnet.tn.gov.in/fcms/documents/go/15-agri_e_ms_204_ap4_2015.pdf</t>
  </si>
  <si>
    <t xml:space="preserve">G.O.(D) No 272</t>
  </si>
  <si>
    <t xml:space="preserve">Agricuture Department-Agricultural Engineering-Tamilnadu innovation Initiatives-State innovation Fund in lieu of existing part II Schemes (New Schemes)-Installation of Model Grid Tie Solar Power photo voltaic Power Plant without battery for capacity of 31</t>
  </si>
  <si>
    <t xml:space="preserve">http://tnagrisnet.tn.gov.in/fcms/documents/go/14-agri_e_d_272_ae1_2015.pdf</t>
  </si>
  <si>
    <t xml:space="preserve">G.O.(Ms). No. 249</t>
  </si>
  <si>
    <t xml:space="preserve">Agriculture-Augmenting Pulses Production through distribution of enhanced subsidy to the farmers or distribution of Pulses Certified Seeds during 2015-16-Sanctioned-Orders-issued</t>
  </si>
  <si>
    <t xml:space="preserve">http://tnagrisnet.tn.gov.in/fcms/documents/go/15-agri_e_ms_249_ap4_2015.pdf</t>
  </si>
  <si>
    <t xml:space="preserve">G.O.(Ms). No. 237</t>
  </si>
  <si>
    <t xml:space="preserve">Agriculture-Sanction accorded for Rs. 599.60 lakhs as first installment including 50% of state share and 1% of administrative cost to implement the components of Pramparagat Krishi Vikas Yojana under National Mission for Sustainable Agriculture 2015-16-Or</t>
  </si>
  <si>
    <t xml:space="preserve">http://tnagrisnet.tn.gov.in/fcms/documents/go/15-agri_e_ms_237_ap3_2015.pdf</t>
  </si>
  <si>
    <t xml:space="preserve">GO (Ms) No 236</t>
  </si>
  <si>
    <t xml:space="preserve">Agriculture Department - Agricultural Engineering - Central assistance scheme of Sub Mission on Agricultural Mechanisation - Fianacial sanction for an amount of Rs.991.50 lakhs for the implementation of Sub Mission on Agricultural Mechanisation during the</t>
  </si>
  <si>
    <t xml:space="preserve">http://tnagrisnet.tn.gov.in/fcms/documents/go/17-agri_e_ms_236_ae1_2015.pdf</t>
  </si>
  <si>
    <t xml:space="preserve">G.O.(Ms). No. 233</t>
  </si>
  <si>
    <t xml:space="preserve">Agriculture-Tamil Nadu Innovation Initiatives (TANII)-Scheme under State Innovation Fund-On farm Soil Fertility Enrichment in Sugarcane fields using Bio Mineralizer at a cost of Rs. 50lakhs-Sanctioned-Orders Issued.</t>
  </si>
  <si>
    <t xml:space="preserve">http://tnagrisnet.tn.gov.in/fcms/documents/go/15-agri_e_ms_233_ap3_2015.pdf</t>
  </si>
  <si>
    <t xml:space="preserve">Agriculture-Tamil Nadu Innovation Initiatives (TANII)-Scheme under State Innovation Fund-Bio enrichment of Soil by intercropping Green manure crops in Rice Agro eco system at a cost of Rs.30 lakhs-Sanctioned-Orders Issued.</t>
  </si>
  <si>
    <t xml:space="preserve">http://tnagrisnet.tn.gov.in/fcms/documents/go/15-agri_e_ms_234_ap3_2015.pdf</t>
  </si>
  <si>
    <t xml:space="preserve">G.O.(Ms). No. 221</t>
  </si>
  <si>
    <t xml:space="preserve">Agriculture-Cotton-Implementation of Tamil Nadu Cotton cultivation Mission-Permission to Utilize the unspent amount of 2014-15 during 2015-16 - Orders- Issued.</t>
  </si>
  <si>
    <t xml:space="preserve">http://tnagrisnet.tn.gov.in/fcms/documents/go/15-agri_e_ms_221_ap4_2015.pdf</t>
  </si>
  <si>
    <t xml:space="preserve">G.O.(Ms). No. 210</t>
  </si>
  <si>
    <t xml:space="preserve">Agriculture-Implementation of NFSM during 2015-16-Administrative Approval and Financial Sanction-Release of first Installment-Sanctioned -Orders-Issued.</t>
  </si>
  <si>
    <t xml:space="preserve">http://tnagrisnet.tn.gov.in/fcms/documents/go/15-agri_e_ms_210_ap4_2015.pdf</t>
  </si>
  <si>
    <t xml:space="preserve">G.O.(2D) No. 107</t>
  </si>
  <si>
    <t xml:space="preserve">Agriculture-Scheme of Blue Green Algae-Implementation-Continuance of the Scheme during 2015-2016-Orders-Issued.</t>
  </si>
  <si>
    <t xml:space="preserve">http://tnagrisnet.tn.gov.in/fcms/documents/go/14-agri_e_2d_107_ap3_2015.pdf</t>
  </si>
  <si>
    <t xml:space="preserve">GO (Ms) No 187</t>
  </si>
  <si>
    <t xml:space="preserve">Agriculture Department - Agricultural Engineering - Centrally Sponsored Command Area Develpoment and Water Management Programme - Administrative and financial sanction for the implementation of three new projects in Tamil Nadu viz., Kalingalar Nichabhanad</t>
  </si>
  <si>
    <t xml:space="preserve">http://tnagrisnet.tn.gov.in/fcms/documents/go/17-agri_e_ms_187_ae1_2015.pdf</t>
  </si>
  <si>
    <t xml:space="preserve">G.O.(Ms). No. 178</t>
  </si>
  <si>
    <t xml:space="preserve">Agriculture-Implementation of seed village programme in the sub mission on seeds&amp;Planting Material under National Mission on Agricultural Extension and Technology (NMAET)during 2015-16 Sanctioned-Orders-Issued</t>
  </si>
  <si>
    <t xml:space="preserve">http://tnagrisnet.tn.gov.in/fcms/documents/go/15-agri_e_ms_178_ap4_2015.pdf</t>
  </si>
  <si>
    <t xml:space="preserve">G.O.(Ms). No. 180</t>
  </si>
  <si>
    <t xml:space="preserve">Agriculture-National Agriculture Insurance Scheme-Additional Claims arising out of change of notified area by the concerned Nodal bank under Kharif 2009-paddy-I crop in Thiruvannamalai District-Sanction a sum of Rs. 14,00,243/- orders Issued.</t>
  </si>
  <si>
    <t xml:space="preserve">http://tnagrisnet.tn.gov.in/fcms/documents/go/15-agri_e_ms_180_ap6_2015.pdf</t>
  </si>
  <si>
    <t xml:space="preserve">G.O.(Ms). No. 181</t>
  </si>
  <si>
    <t xml:space="preserve">Agriculture-Implementation of Coconut Palm Insurance Scheme as a component scheme of national Agricultural Insurance Scheme(NAIS) during 2015-16- Administrative Sanction at an outlay of Rs. 20.00lakhs -Orders- Issued.</t>
  </si>
  <si>
    <t xml:space="preserve">http://tnagrisnet.tn.gov.in/fcms/documents/go/15-agri_e_ms_181_ap6_2015.pdf</t>
  </si>
  <si>
    <t xml:space="preserve">G.O.(2D) No. 98</t>
  </si>
  <si>
    <t xml:space="preserve">Agriculture-Scheme of procurement and Distribution of Green Manure Seeds-Continuance of the Scheme during 2015-16 at a Financial outlay of Rs. 103.00 Lakhs at 50% Subsidy-Orders Issued.</t>
  </si>
  <si>
    <t xml:space="preserve">http://tnagrisnet.tn.gov.in/fcms/documents/go/14-agri_e_2d_98_ap3_2015.pdf</t>
  </si>
  <si>
    <t xml:space="preserve">Agriculture-implementation of the National Agricultural Insurance Scheme(NAIS) during XII Plan-Rs.9.50 Crores towards the settlement of 50% premium subsidy to cover 49,500 farmers-Sanctioned-orders-issued.</t>
  </si>
  <si>
    <t xml:space="preserve">http://tnagrisnet.tn.gov.in/fcms/documents/go/15-agri_e_ms_168_ap6_2015.pdf</t>
  </si>
  <si>
    <t xml:space="preserve">G.O.(2D) No. 95</t>
  </si>
  <si>
    <t xml:space="preserve">Agriculture-Micro Nutrient Mixture Scheme-Implementation of the Scheme at a total cost of Rs. 5,22,96,000/- during the year 2015-16-order Issued.</t>
  </si>
  <si>
    <t xml:space="preserve">http://tnagrisnet.tn.gov.in/fcms/documents/go/14-agri_e_2d_95_ap3_2015.pdf</t>
  </si>
  <si>
    <t xml:space="preserve">G.O.(Ms). No. 158</t>
  </si>
  <si>
    <t xml:space="preserve">Agriculture-Soil Testing Laboratories, Mobile Soil Testing Laboratories and Central Control Laboratory, Kudumiyanmalai-Continuance of the Scheme from 01.04.2015 to 31.03.2016-Sanctioned-Orders-Issued.</t>
  </si>
  <si>
    <t xml:space="preserve">http://tnagrisnet.tn.gov.in/fcms/documents/go/15-agri_e_ms_158_ap4_2015.pdf</t>
  </si>
  <si>
    <t xml:space="preserve">Agriculture -Scheme of Bio fertilzer quality control lab, Trichy- Continuance of Scheme with effect from 01.04.2015 to 31.03.2016 - Orders Issued.</t>
  </si>
  <si>
    <t xml:space="preserve">http://tnagrisnet.tn.gov.in/fcms/documents/go/14-agri_e_2d_81_ap3_2015.pdf</t>
  </si>
  <si>
    <t xml:space="preserve">G.O.(2D) No. 72</t>
  </si>
  <si>
    <t xml:space="preserve">Agriculture Department-Continuance of Fertilizer control Laboratory Scheme for further period of one year from 01.04.20165to 31.03.2016 - Orders Issued.</t>
  </si>
  <si>
    <t xml:space="preserve">http://tnagrisnet.tn.gov.in/fcms/documents/go/14-agri_e_2d_72_ap3_2015.pdf</t>
  </si>
  <si>
    <t xml:space="preserve">G.O.(2D) No. 71</t>
  </si>
  <si>
    <t xml:space="preserve">Agriculture-Bio fertilizer production units scheme-Continuance of the scheme during the year 2015-2016-Orders Issued</t>
  </si>
  <si>
    <t xml:space="preserve">http://tnagrisnet.tn.gov.in/fcms/documents/go/14-agri_e_2d_71_ap3_2015.pdf</t>
  </si>
  <si>
    <t xml:space="preserve">G.O.(2D) No. 64</t>
  </si>
  <si>
    <t xml:space="preserve">Agriculture-Scheme for composting of Farm waste through Pleurotus-Implementation of the Scheme for 2015-2016-Orders Issued</t>
  </si>
  <si>
    <t xml:space="preserve">http://tnagrisnet.tn.gov.in/fcms/documents/go/14-agri_e_2d_64_ap3_2015.pdf</t>
  </si>
  <si>
    <t xml:space="preserve">Letter (Ms) No. 96</t>
  </si>
  <si>
    <t xml:space="preserve">Agriculture-Centrally Sponsored Scheme-Implementation of National e-Governance plan in Agriculture(NeGP-A) under the New National mission on Agricultural Extension and Technology during 2014-15-Sanction of Rs.3,50,82,667/-Order issued Financial Sanction R</t>
  </si>
  <si>
    <t xml:space="preserve">http://tnagrisnet.tn.gov.in/fcms/documents/go/15-agri_e_lrms_96_ap6_2015.pdf</t>
  </si>
  <si>
    <t xml:space="preserve">G.O(Ms).No.94</t>
  </si>
  <si>
    <t xml:space="preserve">Formation of Tamil Nadu State Seed Development Agency (TANSEDA)</t>
  </si>
  <si>
    <t xml:space="preserve">http://tnagrisnet.tn.gov.in/fcms/documents/go/08-G.O.94.pdf</t>
  </si>
  <si>
    <t xml:space="preserve">Agriculture-Centrally Sponsored Scheme-Implementation of National e-Governance plan in Agriculture(NeGP-A) under the New National mission on Agricultural Extension and Technology during 2014-15-Sacntion of Rs.3,50,82,667/-(GOI share Rs.2,23,93,667+ State</t>
  </si>
  <si>
    <t xml:space="preserve">http://tnagrisnet.tn.gov.in/fcms/documents/go/15-agri_e_ms_74_ap6_2015.pdf</t>
  </si>
  <si>
    <t xml:space="preserve">G.O.(Ms). No. 35</t>
  </si>
  <si>
    <t xml:space="preserve">Agriculture Department - Agricultural Engineering - Central assistance scheme of Sub Mission on Agricultural Mechanisation - Financial sanction for an amount of Rs.1080.00 Lakhs for the implementation of Sub Mission on Agricultural Mechanisation during t</t>
  </si>
  <si>
    <t xml:space="preserve">http://tnagrisnet.tn.gov.in/fcms/documents/go/17-agri_e_ms_35_ae1_2015.pdf</t>
  </si>
  <si>
    <t xml:space="preserve">GO (Ms) No 35</t>
  </si>
  <si>
    <t xml:space="preserve">Agriculture Department - Agricultural Engineering - Central assistance scheme of "Sub Mission on Agricultural Mechanisation" -Financial sanction for an amount of Rs.1080.00 lakhs for the implementation of Sub Mission on Agricultural Mechanisation during t</t>
  </si>
  <si>
    <t xml:space="preserve">Agriculture-Cost of Consultancy charges to NABCONS for Conducting feasibility and fund requirement study for implementation of Integrated Farming System in Villupuram District as a District saturation Model-Sanction of Additional sum of Rs. 2,75,010/- to</t>
  </si>
  <si>
    <t xml:space="preserve">http://tnagrisnet.tn.gov.in/fcms/documents/go/16-agri_e_ms_16_ap6_2015.pdf</t>
  </si>
  <si>
    <t xml:space="preserve">Agriculture-Cotton-launching of Tamil Nadu Cotton Cultivation Mission During 2014-15-Administrative and Financial Approval-Sanctioned-Orders-Issued.</t>
  </si>
  <si>
    <t xml:space="preserve">http://tnagrisnet.tn.gov.in/fcms/documents/go/15-agri_e_ms_11_ap4_2015.pdf</t>
  </si>
  <si>
    <t xml:space="preserve">G.O.(Ms). No. 14</t>
  </si>
  <si>
    <t xml:space="preserve">Agriculture-Hon'ble Chief Minister announcement- Production of shortfilm on Agricultural welfare schemes-Financial sanction of Rs. 5,76,000/- Orders-Issued.</t>
  </si>
  <si>
    <t xml:space="preserve">http://tnagrisnet.tn.gov.in/fcms/documents/go/16-agri_t_ms_14_ap6_2015.pdf</t>
  </si>
  <si>
    <t xml:space="preserve">GO (Ms) No 13</t>
  </si>
  <si>
    <t xml:space="preserve">Agriculture-Agricultural Engineering-Construction of new office building for the Offices of the Superintending Engineer(Agricultural Engineering) and Executive Engineer(Agricultural Engineering)at Tirunelveli- during 2014-15- at a cost of Rs.74.45lakhs -</t>
  </si>
  <si>
    <t xml:space="preserve">http://tnagrisnet.tn.gov.in/fcms/documents/go/16-agri_e_ms_13_ae1_2015.pdf</t>
  </si>
  <si>
    <t xml:space="preserve">Total GOs harvested</t>
  </si>
  <si>
    <t xml:space="preserve">Shortlisted (2021+, size&gt;0, unique)</t>
  </si>
  <si>
    <t xml:space="preserve">  of which scheme-related</t>
  </si>
  <si>
    <t xml:space="preserve">  of which Tamil subject</t>
  </si>
  <si>
    <t xml:space="preserve">Excluded: size 0 Kbs</t>
  </si>
  <si>
    <t xml:space="preserve">Excluded: older than 2021</t>
  </si>
  <si>
    <t xml:space="preserve">Excluded: duplicate URL</t>
  </si>
  <si>
    <t xml:space="preserve">Notes: scheme-related = subject matches scheme/subsidy/mission keywords (English or Tamil). Edit the Keep? column in Shortlist to approve the final list. Latest GO year on the site is 2023.</t>
  </si>
</sst>
</file>

<file path=xl/styles.xml><?xml version="1.0" encoding="utf-8"?>
<styleSheet xmlns="http://schemas.openxmlformats.org/spreadsheetml/2006/main">
  <numFmts count="2">
    <numFmt numFmtId="164" formatCode="General"/>
    <numFmt numFmtId="165" formatCode="yyyy\-mm\-dd"/>
  </numFmts>
  <fonts count="7">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i val="true"/>
      <sz val="9"/>
      <name val="Arial"/>
      <family val="0"/>
      <charset val="1"/>
    </font>
  </fonts>
  <fills count="3">
    <fill>
      <patternFill patternType="none"/>
    </fill>
    <fill>
      <patternFill patternType="gray125"/>
    </fill>
    <fill>
      <patternFill patternType="solid">
        <fgColor rgb="FF1F4E78"/>
        <bgColor rgb="FF00336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8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7"/>
    <col collapsed="false" customWidth="true" hidden="false" outlineLevel="0" max="3" min="3" style="0" width="12"/>
    <col collapsed="false" customWidth="true" hidden="false" outlineLevel="0" max="4" min="4" style="0" width="18"/>
    <col collapsed="false" customWidth="true" hidden="false" outlineLevel="0" max="5" min="5" style="0" width="70"/>
    <col collapsed="false" customWidth="true" hidden="false" outlineLevel="0" max="6" min="6" style="0" width="9"/>
    <col collapsed="false" customWidth="true" hidden="false" outlineLevel="0" max="8" min="7" style="0" width="10"/>
    <col collapsed="false" customWidth="true" hidden="false" outlineLevel="0" max="9" min="9" style="0" width="11"/>
    <col collapsed="false" customWidth="true" hidden="false" outlineLevel="0" max="10" min="10" style="0" width="60"/>
    <col collapsed="false" customWidth="true" hidden="false" outlineLevel="0" max="11" min="11" style="0" width="11"/>
  </cols>
  <sheetData>
    <row r="1" customFormat="false" ht="23.85" hidden="false" customHeight="false" outlineLevel="0" collapsed="false">
      <c r="A1" s="1" t="s">
        <v>0</v>
      </c>
      <c r="B1" s="1" t="s">
        <v>1</v>
      </c>
      <c r="C1" s="1" t="s">
        <v>2</v>
      </c>
      <c r="D1" s="1" t="s">
        <v>3</v>
      </c>
      <c r="E1" s="1" t="s">
        <v>4</v>
      </c>
      <c r="F1" s="1" t="s">
        <v>5</v>
      </c>
      <c r="G1" s="1" t="s">
        <v>6</v>
      </c>
      <c r="H1" s="1" t="s">
        <v>7</v>
      </c>
      <c r="I1" s="1" t="s">
        <v>8</v>
      </c>
      <c r="J1" s="1" t="s">
        <v>9</v>
      </c>
      <c r="K1" s="1" t="s">
        <v>10</v>
      </c>
    </row>
    <row r="2" customFormat="false" ht="35.05" hidden="false" customHeight="false" outlineLevel="0" collapsed="false">
      <c r="A2" s="2" t="s">
        <v>11</v>
      </c>
      <c r="B2" s="2" t="n">
        <v>2023</v>
      </c>
      <c r="C2" s="3" t="n">
        <v>45162</v>
      </c>
      <c r="D2" s="2" t="s">
        <v>12</v>
      </c>
      <c r="E2" s="2" t="s">
        <v>13</v>
      </c>
      <c r="F2" s="2" t="s">
        <v>14</v>
      </c>
      <c r="G2" s="2" t="n">
        <v>6672</v>
      </c>
      <c r="H2" s="2" t="s">
        <v>15</v>
      </c>
      <c r="I2" s="2" t="s">
        <v>16</v>
      </c>
      <c r="J2" s="2" t="s">
        <v>17</v>
      </c>
      <c r="K2" s="2" t="s">
        <v>16</v>
      </c>
    </row>
    <row r="3" customFormat="false" ht="68.65" hidden="false" customHeight="false" outlineLevel="0" collapsed="false">
      <c r="A3" s="2" t="s">
        <v>18</v>
      </c>
      <c r="B3" s="2" t="n">
        <v>2023</v>
      </c>
      <c r="C3" s="3" t="n">
        <v>45042</v>
      </c>
      <c r="D3" s="2" t="s">
        <v>19</v>
      </c>
      <c r="E3" s="2" t="s">
        <v>20</v>
      </c>
      <c r="F3" s="2" t="s">
        <v>21</v>
      </c>
      <c r="G3" s="2" t="n">
        <v>461</v>
      </c>
      <c r="H3" s="2" t="s">
        <v>22</v>
      </c>
      <c r="I3" s="2" t="s">
        <v>16</v>
      </c>
      <c r="J3" s="2" t="s">
        <v>23</v>
      </c>
      <c r="K3" s="2" t="s">
        <v>16</v>
      </c>
    </row>
    <row r="4" customFormat="false" ht="35.05" hidden="false" customHeight="false" outlineLevel="0" collapsed="false">
      <c r="A4" s="2" t="s">
        <v>24</v>
      </c>
      <c r="B4" s="2" t="n">
        <v>2023</v>
      </c>
      <c r="C4" s="3" t="n">
        <v>45041</v>
      </c>
      <c r="D4" s="2" t="s">
        <v>19</v>
      </c>
      <c r="E4" s="2" t="s">
        <v>25</v>
      </c>
      <c r="F4" s="2"/>
      <c r="G4" s="2" t="n">
        <v>477</v>
      </c>
      <c r="H4" s="2" t="s">
        <v>22</v>
      </c>
      <c r="I4" s="2" t="s">
        <v>16</v>
      </c>
      <c r="J4" s="2" t="s">
        <v>26</v>
      </c>
      <c r="K4" s="2" t="s">
        <v>16</v>
      </c>
    </row>
    <row r="5" customFormat="false" ht="68.65" hidden="false" customHeight="false" outlineLevel="0" collapsed="false">
      <c r="A5" s="2" t="s">
        <v>27</v>
      </c>
      <c r="B5" s="2" t="n">
        <v>2023</v>
      </c>
      <c r="C5" s="3" t="n">
        <v>45001</v>
      </c>
      <c r="D5" s="2" t="s">
        <v>12</v>
      </c>
      <c r="E5" s="2" t="s">
        <v>28</v>
      </c>
      <c r="F5" s="2"/>
      <c r="G5" s="2" t="n">
        <v>1499</v>
      </c>
      <c r="H5" s="2" t="s">
        <v>22</v>
      </c>
      <c r="I5" s="2" t="s">
        <v>16</v>
      </c>
      <c r="J5" s="2" t="s">
        <v>29</v>
      </c>
      <c r="K5" s="2" t="s">
        <v>16</v>
      </c>
    </row>
    <row r="6" customFormat="false" ht="57.45" hidden="false" customHeight="false" outlineLevel="0" collapsed="false">
      <c r="A6" s="2" t="s">
        <v>30</v>
      </c>
      <c r="B6" s="2" t="n">
        <v>2023</v>
      </c>
      <c r="C6" s="3" t="n">
        <v>44977</v>
      </c>
      <c r="D6" s="2" t="s">
        <v>31</v>
      </c>
      <c r="E6" s="2" t="s">
        <v>32</v>
      </c>
      <c r="F6" s="2" t="s">
        <v>33</v>
      </c>
      <c r="G6" s="2" t="n">
        <v>451</v>
      </c>
      <c r="H6" s="2" t="s">
        <v>15</v>
      </c>
      <c r="I6" s="2" t="s">
        <v>16</v>
      </c>
      <c r="J6" s="2" t="s">
        <v>34</v>
      </c>
      <c r="K6" s="2" t="s">
        <v>16</v>
      </c>
    </row>
    <row r="7" customFormat="false" ht="46.25" hidden="false" customHeight="false" outlineLevel="0" collapsed="false">
      <c r="A7" s="2" t="s">
        <v>35</v>
      </c>
      <c r="B7" s="2" t="n">
        <v>2023</v>
      </c>
      <c r="C7" s="3" t="n">
        <v>44953</v>
      </c>
      <c r="D7" s="2" t="s">
        <v>19</v>
      </c>
      <c r="E7" s="2" t="s">
        <v>36</v>
      </c>
      <c r="F7" s="2" t="s">
        <v>37</v>
      </c>
      <c r="G7" s="2" t="n">
        <v>295</v>
      </c>
      <c r="H7" s="2" t="s">
        <v>15</v>
      </c>
      <c r="I7" s="2" t="s">
        <v>16</v>
      </c>
      <c r="J7" s="2" t="s">
        <v>38</v>
      </c>
      <c r="K7" s="2" t="s">
        <v>16</v>
      </c>
    </row>
    <row r="8" customFormat="false" ht="35.05" hidden="false" customHeight="false" outlineLevel="0" collapsed="false">
      <c r="A8" s="2" t="s">
        <v>39</v>
      </c>
      <c r="B8" s="2" t="n">
        <v>2022</v>
      </c>
      <c r="C8" s="3" t="n">
        <v>44914</v>
      </c>
      <c r="D8" s="2" t="s">
        <v>12</v>
      </c>
      <c r="E8" s="2" t="s">
        <v>40</v>
      </c>
      <c r="F8" s="2" t="s">
        <v>33</v>
      </c>
      <c r="G8" s="2" t="n">
        <v>342</v>
      </c>
      <c r="H8" s="2" t="s">
        <v>15</v>
      </c>
      <c r="I8" s="2" t="s">
        <v>16</v>
      </c>
      <c r="J8" s="2" t="s">
        <v>41</v>
      </c>
      <c r="K8" s="2" t="s">
        <v>16</v>
      </c>
    </row>
    <row r="9" customFormat="false" ht="68.65" hidden="false" customHeight="false" outlineLevel="0" collapsed="false">
      <c r="A9" s="2" t="s">
        <v>42</v>
      </c>
      <c r="B9" s="2" t="n">
        <v>2022</v>
      </c>
      <c r="C9" s="3" t="n">
        <v>44911</v>
      </c>
      <c r="D9" s="2" t="s">
        <v>12</v>
      </c>
      <c r="E9" s="2" t="s">
        <v>43</v>
      </c>
      <c r="F9" s="2" t="s">
        <v>44</v>
      </c>
      <c r="G9" s="2" t="n">
        <v>5065</v>
      </c>
      <c r="H9" s="2" t="s">
        <v>22</v>
      </c>
      <c r="I9" s="2" t="s">
        <v>16</v>
      </c>
      <c r="J9" s="2" t="s">
        <v>45</v>
      </c>
      <c r="K9" s="2" t="s">
        <v>16</v>
      </c>
    </row>
    <row r="10" customFormat="false" ht="35.05" hidden="false" customHeight="false" outlineLevel="0" collapsed="false">
      <c r="A10" s="2" t="s">
        <v>46</v>
      </c>
      <c r="B10" s="2" t="n">
        <v>2022</v>
      </c>
      <c r="C10" s="3" t="n">
        <v>44904</v>
      </c>
      <c r="D10" s="2" t="s">
        <v>12</v>
      </c>
      <c r="E10" s="2" t="s">
        <v>47</v>
      </c>
      <c r="F10" s="2" t="s">
        <v>48</v>
      </c>
      <c r="G10" s="2" t="n">
        <v>342</v>
      </c>
      <c r="H10" s="2" t="s">
        <v>15</v>
      </c>
      <c r="I10" s="2" t="s">
        <v>16</v>
      </c>
      <c r="J10" s="2" t="s">
        <v>49</v>
      </c>
      <c r="K10" s="2" t="s">
        <v>16</v>
      </c>
    </row>
    <row r="11" customFormat="false" ht="57.45" hidden="false" customHeight="false" outlineLevel="0" collapsed="false">
      <c r="A11" s="2" t="s">
        <v>50</v>
      </c>
      <c r="B11" s="2" t="n">
        <v>2022</v>
      </c>
      <c r="C11" s="3" t="n">
        <v>44902</v>
      </c>
      <c r="D11" s="2" t="s">
        <v>12</v>
      </c>
      <c r="E11" s="2" t="s">
        <v>51</v>
      </c>
      <c r="F11" s="2" t="s">
        <v>44</v>
      </c>
      <c r="G11" s="2" t="n">
        <v>2590</v>
      </c>
      <c r="H11" s="2" t="s">
        <v>22</v>
      </c>
      <c r="I11" s="2" t="s">
        <v>16</v>
      </c>
      <c r="J11" s="2" t="s">
        <v>52</v>
      </c>
      <c r="K11" s="2" t="s">
        <v>16</v>
      </c>
    </row>
    <row r="12" customFormat="false" ht="57.45" hidden="false" customHeight="false" outlineLevel="0" collapsed="false">
      <c r="A12" s="2" t="s">
        <v>53</v>
      </c>
      <c r="B12" s="2" t="n">
        <v>2022</v>
      </c>
      <c r="C12" s="3" t="n">
        <v>44896</v>
      </c>
      <c r="D12" s="2" t="s">
        <v>12</v>
      </c>
      <c r="E12" s="2" t="s">
        <v>54</v>
      </c>
      <c r="F12" s="2" t="s">
        <v>37</v>
      </c>
      <c r="G12" s="2" t="n">
        <v>1544</v>
      </c>
      <c r="H12" s="2" t="s">
        <v>15</v>
      </c>
      <c r="I12" s="2" t="s">
        <v>16</v>
      </c>
      <c r="J12" s="2" t="s">
        <v>55</v>
      </c>
      <c r="K12" s="2" t="s">
        <v>16</v>
      </c>
    </row>
    <row r="13" customFormat="false" ht="68.65" hidden="false" customHeight="false" outlineLevel="0" collapsed="false">
      <c r="A13" s="2" t="s">
        <v>56</v>
      </c>
      <c r="B13" s="2" t="n">
        <v>2022</v>
      </c>
      <c r="C13" s="3" t="n">
        <v>44890</v>
      </c>
      <c r="D13" s="2" t="s">
        <v>12</v>
      </c>
      <c r="E13" s="2" t="s">
        <v>57</v>
      </c>
      <c r="F13" s="2" t="s">
        <v>58</v>
      </c>
      <c r="G13" s="2" t="n">
        <v>222</v>
      </c>
      <c r="H13" s="2" t="s">
        <v>15</v>
      </c>
      <c r="I13" s="2" t="s">
        <v>16</v>
      </c>
      <c r="J13" s="2" t="s">
        <v>59</v>
      </c>
      <c r="K13" s="2" t="s">
        <v>16</v>
      </c>
    </row>
    <row r="14" customFormat="false" ht="35.05" hidden="false" customHeight="false" outlineLevel="0" collapsed="false">
      <c r="A14" s="2" t="s">
        <v>60</v>
      </c>
      <c r="B14" s="2" t="n">
        <v>2022</v>
      </c>
      <c r="C14" s="3" t="n">
        <v>44882</v>
      </c>
      <c r="D14" s="2" t="s">
        <v>31</v>
      </c>
      <c r="E14" s="2" t="s">
        <v>61</v>
      </c>
      <c r="F14" s="2" t="s">
        <v>62</v>
      </c>
      <c r="G14" s="2" t="n">
        <v>281</v>
      </c>
      <c r="H14" s="2" t="s">
        <v>15</v>
      </c>
      <c r="I14" s="2" t="s">
        <v>16</v>
      </c>
      <c r="J14" s="2" t="s">
        <v>63</v>
      </c>
      <c r="K14" s="2" t="s">
        <v>16</v>
      </c>
    </row>
    <row r="15" customFormat="false" ht="57.45" hidden="false" customHeight="false" outlineLevel="0" collapsed="false">
      <c r="A15" s="2" t="s">
        <v>64</v>
      </c>
      <c r="B15" s="2" t="n">
        <v>2022</v>
      </c>
      <c r="C15" s="3" t="n">
        <v>44882</v>
      </c>
      <c r="D15" s="2" t="s">
        <v>31</v>
      </c>
      <c r="E15" s="2" t="s">
        <v>65</v>
      </c>
      <c r="F15" s="2" t="s">
        <v>62</v>
      </c>
      <c r="G15" s="2" t="n">
        <v>321</v>
      </c>
      <c r="H15" s="2" t="s">
        <v>15</v>
      </c>
      <c r="I15" s="2" t="s">
        <v>16</v>
      </c>
      <c r="J15" s="2" t="s">
        <v>66</v>
      </c>
      <c r="K15" s="2" t="s">
        <v>16</v>
      </c>
    </row>
    <row r="16" customFormat="false" ht="57.45" hidden="false" customHeight="false" outlineLevel="0" collapsed="false">
      <c r="A16" s="2" t="s">
        <v>67</v>
      </c>
      <c r="B16" s="2" t="n">
        <v>2022</v>
      </c>
      <c r="C16" s="3" t="n">
        <v>44868</v>
      </c>
      <c r="D16" s="2" t="s">
        <v>31</v>
      </c>
      <c r="E16" s="2" t="s">
        <v>68</v>
      </c>
      <c r="F16" s="2" t="s">
        <v>69</v>
      </c>
      <c r="G16" s="2" t="n">
        <v>1050</v>
      </c>
      <c r="H16" s="2" t="s">
        <v>15</v>
      </c>
      <c r="I16" s="2" t="s">
        <v>16</v>
      </c>
      <c r="J16" s="2" t="s">
        <v>70</v>
      </c>
      <c r="K16" s="2" t="s">
        <v>16</v>
      </c>
    </row>
    <row r="17" customFormat="false" ht="57.45" hidden="false" customHeight="false" outlineLevel="0" collapsed="false">
      <c r="A17" s="2" t="s">
        <v>71</v>
      </c>
      <c r="B17" s="2" t="n">
        <v>2022</v>
      </c>
      <c r="C17" s="3" t="n">
        <v>44853</v>
      </c>
      <c r="D17" s="2" t="s">
        <v>12</v>
      </c>
      <c r="E17" s="2" t="s">
        <v>72</v>
      </c>
      <c r="F17" s="2" t="s">
        <v>44</v>
      </c>
      <c r="G17" s="2" t="n">
        <v>2681</v>
      </c>
      <c r="H17" s="2" t="s">
        <v>22</v>
      </c>
      <c r="I17" s="2" t="s">
        <v>16</v>
      </c>
      <c r="J17" s="2" t="s">
        <v>73</v>
      </c>
      <c r="K17" s="2" t="s">
        <v>16</v>
      </c>
    </row>
    <row r="18" customFormat="false" ht="57.45" hidden="false" customHeight="false" outlineLevel="0" collapsed="false">
      <c r="A18" s="2" t="s">
        <v>74</v>
      </c>
      <c r="B18" s="2" t="n">
        <v>2022</v>
      </c>
      <c r="C18" s="3" t="n">
        <v>44848</v>
      </c>
      <c r="D18" s="2" t="s">
        <v>75</v>
      </c>
      <c r="E18" s="2" t="s">
        <v>76</v>
      </c>
      <c r="F18" s="2" t="s">
        <v>77</v>
      </c>
      <c r="G18" s="2" t="n">
        <v>1138</v>
      </c>
      <c r="H18" s="2" t="s">
        <v>15</v>
      </c>
      <c r="I18" s="2" t="s">
        <v>16</v>
      </c>
      <c r="J18" s="2" t="s">
        <v>78</v>
      </c>
      <c r="K18" s="2" t="s">
        <v>16</v>
      </c>
    </row>
    <row r="19" customFormat="false" ht="57.45" hidden="false" customHeight="false" outlineLevel="0" collapsed="false">
      <c r="A19" s="2" t="s">
        <v>79</v>
      </c>
      <c r="B19" s="2" t="n">
        <v>2022</v>
      </c>
      <c r="C19" s="3" t="n">
        <v>44826</v>
      </c>
      <c r="D19" s="2" t="s">
        <v>80</v>
      </c>
      <c r="E19" s="2" t="s">
        <v>81</v>
      </c>
      <c r="F19" s="2" t="s">
        <v>82</v>
      </c>
      <c r="G19" s="2" t="n">
        <v>1536</v>
      </c>
      <c r="H19" s="2" t="s">
        <v>15</v>
      </c>
      <c r="I19" s="2" t="s">
        <v>16</v>
      </c>
      <c r="J19" s="2" t="s">
        <v>83</v>
      </c>
      <c r="K19" s="2" t="s">
        <v>16</v>
      </c>
    </row>
    <row r="20" customFormat="false" ht="57.45" hidden="false" customHeight="false" outlineLevel="0" collapsed="false">
      <c r="A20" s="2" t="s">
        <v>84</v>
      </c>
      <c r="B20" s="2" t="n">
        <v>2022</v>
      </c>
      <c r="C20" s="3" t="n">
        <v>44825</v>
      </c>
      <c r="D20" s="2" t="s">
        <v>12</v>
      </c>
      <c r="E20" s="2" t="s">
        <v>85</v>
      </c>
      <c r="F20" s="2" t="s">
        <v>86</v>
      </c>
      <c r="G20" s="2" t="n">
        <v>3990</v>
      </c>
      <c r="H20" s="2" t="s">
        <v>15</v>
      </c>
      <c r="I20" s="2" t="s">
        <v>16</v>
      </c>
      <c r="J20" s="2" t="s">
        <v>87</v>
      </c>
      <c r="K20" s="2" t="s">
        <v>16</v>
      </c>
    </row>
    <row r="21" customFormat="false" ht="35.05" hidden="false" customHeight="false" outlineLevel="0" collapsed="false">
      <c r="A21" s="2" t="s">
        <v>88</v>
      </c>
      <c r="B21" s="2" t="n">
        <v>2022</v>
      </c>
      <c r="C21" s="3" t="n">
        <v>44819</v>
      </c>
      <c r="D21" s="2" t="s">
        <v>12</v>
      </c>
      <c r="E21" s="2" t="s">
        <v>89</v>
      </c>
      <c r="F21" s="2" t="s">
        <v>62</v>
      </c>
      <c r="G21" s="2" t="n">
        <v>548</v>
      </c>
      <c r="H21" s="2" t="s">
        <v>15</v>
      </c>
      <c r="I21" s="2" t="s">
        <v>16</v>
      </c>
      <c r="J21" s="2" t="s">
        <v>90</v>
      </c>
      <c r="K21" s="2" t="s">
        <v>16</v>
      </c>
    </row>
    <row r="22" customFormat="false" ht="57.45" hidden="false" customHeight="false" outlineLevel="0" collapsed="false">
      <c r="A22" s="2" t="s">
        <v>91</v>
      </c>
      <c r="B22" s="2" t="n">
        <v>2022</v>
      </c>
      <c r="C22" s="3" t="n">
        <v>44805</v>
      </c>
      <c r="D22" s="2" t="s">
        <v>12</v>
      </c>
      <c r="E22" s="2" t="s">
        <v>92</v>
      </c>
      <c r="F22" s="2" t="s">
        <v>93</v>
      </c>
      <c r="G22" s="2" t="n">
        <v>1213</v>
      </c>
      <c r="H22" s="2" t="s">
        <v>22</v>
      </c>
      <c r="I22" s="2" t="s">
        <v>16</v>
      </c>
      <c r="J22" s="2" t="s">
        <v>94</v>
      </c>
      <c r="K22" s="2" t="s">
        <v>16</v>
      </c>
    </row>
    <row r="23" customFormat="false" ht="46.25" hidden="false" customHeight="false" outlineLevel="0" collapsed="false">
      <c r="A23" s="2" t="s">
        <v>95</v>
      </c>
      <c r="B23" s="2" t="n">
        <v>2022</v>
      </c>
      <c r="C23" s="3" t="n">
        <v>44800</v>
      </c>
      <c r="D23" s="2" t="s">
        <v>12</v>
      </c>
      <c r="E23" s="2" t="s">
        <v>96</v>
      </c>
      <c r="F23" s="2" t="s">
        <v>37</v>
      </c>
      <c r="G23" s="2" t="n">
        <v>421</v>
      </c>
      <c r="H23" s="2" t="s">
        <v>15</v>
      </c>
      <c r="I23" s="2" t="s">
        <v>16</v>
      </c>
      <c r="J23" s="2" t="s">
        <v>97</v>
      </c>
      <c r="K23" s="2" t="s">
        <v>16</v>
      </c>
    </row>
    <row r="24" customFormat="false" ht="35.05" hidden="false" customHeight="false" outlineLevel="0" collapsed="false">
      <c r="A24" s="2" t="s">
        <v>98</v>
      </c>
      <c r="B24" s="2" t="n">
        <v>2022</v>
      </c>
      <c r="C24" s="3" t="n">
        <v>44757</v>
      </c>
      <c r="D24" s="2" t="s">
        <v>12</v>
      </c>
      <c r="E24" s="2" t="s">
        <v>99</v>
      </c>
      <c r="F24" s="2" t="s">
        <v>37</v>
      </c>
      <c r="G24" s="2" t="n">
        <v>843</v>
      </c>
      <c r="H24" s="2" t="s">
        <v>15</v>
      </c>
      <c r="I24" s="2" t="s">
        <v>16</v>
      </c>
      <c r="J24" s="2" t="s">
        <v>100</v>
      </c>
      <c r="K24" s="2" t="s">
        <v>16</v>
      </c>
    </row>
    <row r="25" customFormat="false" ht="46.25" hidden="false" customHeight="false" outlineLevel="0" collapsed="false">
      <c r="A25" s="2" t="s">
        <v>101</v>
      </c>
      <c r="B25" s="2" t="n">
        <v>2022</v>
      </c>
      <c r="C25" s="3" t="n">
        <v>44753</v>
      </c>
      <c r="D25" s="2" t="s">
        <v>12</v>
      </c>
      <c r="E25" s="2" t="s">
        <v>102</v>
      </c>
      <c r="F25" s="2" t="s">
        <v>21</v>
      </c>
      <c r="G25" s="2" t="n">
        <v>1525</v>
      </c>
      <c r="H25" s="2" t="s">
        <v>15</v>
      </c>
      <c r="I25" s="2" t="s">
        <v>16</v>
      </c>
      <c r="J25" s="2" t="s">
        <v>103</v>
      </c>
      <c r="K25" s="2" t="s">
        <v>16</v>
      </c>
    </row>
    <row r="26" customFormat="false" ht="46.25" hidden="false" customHeight="false" outlineLevel="0" collapsed="false">
      <c r="A26" s="2" t="s">
        <v>104</v>
      </c>
      <c r="B26" s="2" t="n">
        <v>2022</v>
      </c>
      <c r="C26" s="3" t="n">
        <v>44743</v>
      </c>
      <c r="D26" s="2" t="s">
        <v>12</v>
      </c>
      <c r="E26" s="2" t="s">
        <v>105</v>
      </c>
      <c r="F26" s="2" t="s">
        <v>106</v>
      </c>
      <c r="G26" s="2" t="n">
        <v>1148</v>
      </c>
      <c r="H26" s="2" t="s">
        <v>22</v>
      </c>
      <c r="I26" s="2" t="s">
        <v>16</v>
      </c>
      <c r="J26" s="2" t="s">
        <v>107</v>
      </c>
      <c r="K26" s="2" t="s">
        <v>16</v>
      </c>
    </row>
    <row r="27" customFormat="false" ht="57.45" hidden="false" customHeight="false" outlineLevel="0" collapsed="false">
      <c r="A27" s="2" t="s">
        <v>108</v>
      </c>
      <c r="B27" s="2" t="n">
        <v>2022</v>
      </c>
      <c r="C27" s="3" t="n">
        <v>44636</v>
      </c>
      <c r="D27" s="2" t="s">
        <v>12</v>
      </c>
      <c r="E27" s="2" t="s">
        <v>109</v>
      </c>
      <c r="F27" s="2" t="s">
        <v>110</v>
      </c>
      <c r="G27" s="2" t="n">
        <v>301</v>
      </c>
      <c r="H27" s="2" t="s">
        <v>15</v>
      </c>
      <c r="I27" s="2" t="s">
        <v>16</v>
      </c>
      <c r="J27" s="2" t="s">
        <v>111</v>
      </c>
      <c r="K27" s="2" t="s">
        <v>16</v>
      </c>
    </row>
    <row r="28" customFormat="false" ht="23.85" hidden="false" customHeight="false" outlineLevel="0" collapsed="false">
      <c r="A28" s="2" t="s">
        <v>112</v>
      </c>
      <c r="B28" s="2" t="n">
        <v>2022</v>
      </c>
      <c r="C28" s="3" t="n">
        <v>44635</v>
      </c>
      <c r="D28" s="2" t="s">
        <v>12</v>
      </c>
      <c r="E28" s="2" t="s">
        <v>113</v>
      </c>
      <c r="F28" s="2" t="s">
        <v>114</v>
      </c>
      <c r="G28" s="2" t="n">
        <v>290</v>
      </c>
      <c r="H28" s="2" t="s">
        <v>15</v>
      </c>
      <c r="I28" s="2" t="s">
        <v>16</v>
      </c>
      <c r="J28" s="2" t="s">
        <v>115</v>
      </c>
      <c r="K28" s="2" t="s">
        <v>16</v>
      </c>
    </row>
    <row r="29" customFormat="false" ht="35.05" hidden="false" customHeight="false" outlineLevel="0" collapsed="false">
      <c r="A29" s="2" t="s">
        <v>116</v>
      </c>
      <c r="B29" s="2" t="n">
        <v>2022</v>
      </c>
      <c r="C29" s="3" t="n">
        <v>44616</v>
      </c>
      <c r="D29" s="2" t="s">
        <v>80</v>
      </c>
      <c r="E29" s="2" t="s">
        <v>117</v>
      </c>
      <c r="F29" s="2" t="s">
        <v>114</v>
      </c>
      <c r="G29" s="2" t="n">
        <v>515</v>
      </c>
      <c r="H29" s="2" t="s">
        <v>15</v>
      </c>
      <c r="I29" s="2" t="s">
        <v>16</v>
      </c>
      <c r="J29" s="2" t="s">
        <v>118</v>
      </c>
      <c r="K29" s="2" t="s">
        <v>16</v>
      </c>
    </row>
    <row r="30" customFormat="false" ht="46.25" hidden="false" customHeight="false" outlineLevel="0" collapsed="false">
      <c r="A30" s="2" t="s">
        <v>119</v>
      </c>
      <c r="B30" s="2" t="n">
        <v>2022</v>
      </c>
      <c r="C30" s="3" t="n">
        <v>44614</v>
      </c>
      <c r="D30" s="2" t="s">
        <v>12</v>
      </c>
      <c r="E30" s="2" t="s">
        <v>120</v>
      </c>
      <c r="F30" s="2" t="s">
        <v>121</v>
      </c>
      <c r="G30" s="2" t="n">
        <v>1488</v>
      </c>
      <c r="H30" s="2" t="s">
        <v>15</v>
      </c>
      <c r="I30" s="2" t="s">
        <v>16</v>
      </c>
      <c r="J30" s="2" t="s">
        <v>122</v>
      </c>
      <c r="K30" s="2" t="s">
        <v>16</v>
      </c>
    </row>
    <row r="31" customFormat="false" ht="46.25" hidden="false" customHeight="false" outlineLevel="0" collapsed="false">
      <c r="A31" s="2" t="s">
        <v>123</v>
      </c>
      <c r="B31" s="2" t="n">
        <v>2022</v>
      </c>
      <c r="C31" s="3" t="n">
        <v>44614</v>
      </c>
      <c r="D31" s="2" t="s">
        <v>12</v>
      </c>
      <c r="E31" s="2" t="s">
        <v>124</v>
      </c>
      <c r="F31" s="2" t="s">
        <v>121</v>
      </c>
      <c r="G31" s="2" t="n">
        <v>598</v>
      </c>
      <c r="H31" s="2" t="s">
        <v>15</v>
      </c>
      <c r="I31" s="2" t="s">
        <v>16</v>
      </c>
      <c r="J31" s="2" t="s">
        <v>125</v>
      </c>
      <c r="K31" s="2" t="s">
        <v>16</v>
      </c>
    </row>
    <row r="32" customFormat="false" ht="35.05" hidden="false" customHeight="false" outlineLevel="0" collapsed="false">
      <c r="A32" s="2" t="s">
        <v>126</v>
      </c>
      <c r="B32" s="2" t="n">
        <v>2022</v>
      </c>
      <c r="C32" s="3" t="n">
        <v>44609</v>
      </c>
      <c r="D32" s="2" t="s">
        <v>12</v>
      </c>
      <c r="E32" s="2" t="s">
        <v>127</v>
      </c>
      <c r="F32" s="2" t="s">
        <v>128</v>
      </c>
      <c r="G32" s="2" t="n">
        <v>382</v>
      </c>
      <c r="H32" s="2" t="s">
        <v>15</v>
      </c>
      <c r="I32" s="2" t="s">
        <v>16</v>
      </c>
      <c r="J32" s="2" t="s">
        <v>129</v>
      </c>
      <c r="K32" s="2" t="s">
        <v>16</v>
      </c>
    </row>
    <row r="33" customFormat="false" ht="23.85" hidden="false" customHeight="false" outlineLevel="0" collapsed="false">
      <c r="A33" s="2" t="s">
        <v>130</v>
      </c>
      <c r="B33" s="2" t="n">
        <v>2022</v>
      </c>
      <c r="C33" s="3" t="n">
        <v>44609</v>
      </c>
      <c r="D33" s="2" t="s">
        <v>12</v>
      </c>
      <c r="E33" s="2" t="s">
        <v>131</v>
      </c>
      <c r="F33" s="2" t="s">
        <v>128</v>
      </c>
      <c r="G33" s="2" t="n">
        <v>418</v>
      </c>
      <c r="H33" s="2" t="s">
        <v>15</v>
      </c>
      <c r="I33" s="2" t="s">
        <v>16</v>
      </c>
      <c r="J33" s="2" t="s">
        <v>132</v>
      </c>
      <c r="K33" s="2" t="s">
        <v>16</v>
      </c>
    </row>
    <row r="34" customFormat="false" ht="46.25" hidden="false" customHeight="false" outlineLevel="0" collapsed="false">
      <c r="A34" s="2" t="s">
        <v>133</v>
      </c>
      <c r="B34" s="2" t="n">
        <v>2022</v>
      </c>
      <c r="C34" s="3" t="n">
        <v>44586</v>
      </c>
      <c r="D34" s="2" t="s">
        <v>12</v>
      </c>
      <c r="E34" s="2" t="s">
        <v>134</v>
      </c>
      <c r="F34" s="2" t="s">
        <v>135</v>
      </c>
      <c r="G34" s="2" t="n">
        <v>504</v>
      </c>
      <c r="H34" s="2" t="s">
        <v>15</v>
      </c>
      <c r="I34" s="2" t="s">
        <v>16</v>
      </c>
      <c r="J34" s="2" t="s">
        <v>136</v>
      </c>
      <c r="K34" s="2" t="s">
        <v>16</v>
      </c>
    </row>
    <row r="35" customFormat="false" ht="46.25" hidden="false" customHeight="false" outlineLevel="0" collapsed="false">
      <c r="A35" s="2" t="s">
        <v>137</v>
      </c>
      <c r="B35" s="2" t="n">
        <v>2022</v>
      </c>
      <c r="C35" s="3" t="n">
        <v>44582</v>
      </c>
      <c r="D35" s="2" t="s">
        <v>80</v>
      </c>
      <c r="E35" s="2" t="s">
        <v>138</v>
      </c>
      <c r="F35" s="2" t="s">
        <v>114</v>
      </c>
      <c r="G35" s="2" t="n">
        <v>733</v>
      </c>
      <c r="H35" s="2" t="s">
        <v>15</v>
      </c>
      <c r="I35" s="2" t="s">
        <v>16</v>
      </c>
      <c r="J35" s="2" t="s">
        <v>139</v>
      </c>
      <c r="K35" s="2" t="s">
        <v>16</v>
      </c>
    </row>
    <row r="36" customFormat="false" ht="46.25" hidden="false" customHeight="false" outlineLevel="0" collapsed="false">
      <c r="A36" s="2" t="s">
        <v>140</v>
      </c>
      <c r="B36" s="2" t="n">
        <v>2022</v>
      </c>
      <c r="C36" s="3" t="n">
        <v>44580</v>
      </c>
      <c r="D36" s="2" t="s">
        <v>80</v>
      </c>
      <c r="E36" s="2" t="s">
        <v>141</v>
      </c>
      <c r="F36" s="2" t="s">
        <v>114</v>
      </c>
      <c r="G36" s="2" t="n">
        <v>354</v>
      </c>
      <c r="H36" s="2" t="s">
        <v>15</v>
      </c>
      <c r="I36" s="2" t="s">
        <v>16</v>
      </c>
      <c r="J36" s="2" t="s">
        <v>142</v>
      </c>
      <c r="K36" s="2" t="s">
        <v>16</v>
      </c>
    </row>
    <row r="37" customFormat="false" ht="23.85" hidden="false" customHeight="false" outlineLevel="0" collapsed="false">
      <c r="A37" s="2" t="s">
        <v>143</v>
      </c>
      <c r="B37" s="2" t="n">
        <v>2022</v>
      </c>
      <c r="C37" s="3" t="n">
        <v>44573</v>
      </c>
      <c r="D37" s="2" t="s">
        <v>80</v>
      </c>
      <c r="E37" s="2" t="s">
        <v>144</v>
      </c>
      <c r="F37" s="2" t="s">
        <v>114</v>
      </c>
      <c r="G37" s="2" t="n">
        <v>218</v>
      </c>
      <c r="H37" s="2" t="s">
        <v>15</v>
      </c>
      <c r="I37" s="2" t="s">
        <v>16</v>
      </c>
      <c r="J37" s="2" t="s">
        <v>145</v>
      </c>
      <c r="K37" s="2" t="s">
        <v>16</v>
      </c>
    </row>
    <row r="38" customFormat="false" ht="35.05" hidden="false" customHeight="false" outlineLevel="0" collapsed="false">
      <c r="A38" s="2" t="s">
        <v>146</v>
      </c>
      <c r="B38" s="2" t="n">
        <v>2022</v>
      </c>
      <c r="C38" s="3" t="n">
        <v>44571</v>
      </c>
      <c r="D38" s="2" t="s">
        <v>12</v>
      </c>
      <c r="E38" s="2" t="s">
        <v>147</v>
      </c>
      <c r="F38" s="2" t="s">
        <v>148</v>
      </c>
      <c r="G38" s="2" t="n">
        <v>688</v>
      </c>
      <c r="H38" s="2" t="s">
        <v>15</v>
      </c>
      <c r="I38" s="2" t="s">
        <v>16</v>
      </c>
      <c r="J38" s="2" t="s">
        <v>149</v>
      </c>
      <c r="K38" s="2" t="s">
        <v>16</v>
      </c>
    </row>
    <row r="39" customFormat="false" ht="23.85" hidden="false" customHeight="false" outlineLevel="0" collapsed="false">
      <c r="A39" s="2" t="s">
        <v>150</v>
      </c>
      <c r="B39" s="2" t="n">
        <v>2022</v>
      </c>
      <c r="C39" s="3" t="n">
        <v>44567</v>
      </c>
      <c r="D39" s="2" t="s">
        <v>80</v>
      </c>
      <c r="E39" s="2" t="s">
        <v>151</v>
      </c>
      <c r="F39" s="2" t="s">
        <v>114</v>
      </c>
      <c r="G39" s="2" t="n">
        <v>377</v>
      </c>
      <c r="H39" s="2" t="s">
        <v>15</v>
      </c>
      <c r="I39" s="2" t="s">
        <v>16</v>
      </c>
      <c r="J39" s="2" t="s">
        <v>152</v>
      </c>
      <c r="K39" s="2" t="s">
        <v>16</v>
      </c>
    </row>
    <row r="40" customFormat="false" ht="23.85" hidden="false" customHeight="false" outlineLevel="0" collapsed="false">
      <c r="A40" s="2" t="s">
        <v>153</v>
      </c>
      <c r="B40" s="2" t="n">
        <v>2021</v>
      </c>
      <c r="C40" s="3" t="n">
        <v>44536</v>
      </c>
      <c r="D40" s="2" t="s">
        <v>12</v>
      </c>
      <c r="E40" s="2" t="s">
        <v>154</v>
      </c>
      <c r="F40" s="2" t="s">
        <v>155</v>
      </c>
      <c r="G40" s="2" t="n">
        <v>908</v>
      </c>
      <c r="H40" s="2" t="s">
        <v>15</v>
      </c>
      <c r="I40" s="2" t="s">
        <v>16</v>
      </c>
      <c r="J40" s="2" t="s">
        <v>156</v>
      </c>
      <c r="K40" s="2" t="s">
        <v>16</v>
      </c>
    </row>
    <row r="41" customFormat="false" ht="23.85" hidden="false" customHeight="false" outlineLevel="0" collapsed="false">
      <c r="A41" s="2" t="s">
        <v>157</v>
      </c>
      <c r="B41" s="2" t="n">
        <v>2021</v>
      </c>
      <c r="C41" s="3" t="n">
        <v>44520</v>
      </c>
      <c r="D41" s="2" t="s">
        <v>80</v>
      </c>
      <c r="E41" s="2" t="s">
        <v>158</v>
      </c>
      <c r="F41" s="2" t="s">
        <v>159</v>
      </c>
      <c r="G41" s="2" t="n">
        <v>1337</v>
      </c>
      <c r="H41" s="2" t="s">
        <v>15</v>
      </c>
      <c r="I41" s="2" t="s">
        <v>16</v>
      </c>
      <c r="J41" s="2" t="s">
        <v>160</v>
      </c>
      <c r="K41" s="2" t="s">
        <v>16</v>
      </c>
    </row>
    <row r="42" customFormat="false" ht="23.85" hidden="false" customHeight="false" outlineLevel="0" collapsed="false">
      <c r="A42" s="2" t="s">
        <v>161</v>
      </c>
      <c r="B42" s="2" t="n">
        <v>2021</v>
      </c>
      <c r="C42" s="3" t="n">
        <v>44516</v>
      </c>
      <c r="D42" s="2" t="s">
        <v>12</v>
      </c>
      <c r="E42" s="2" t="s">
        <v>162</v>
      </c>
      <c r="F42" s="2" t="s">
        <v>163</v>
      </c>
      <c r="G42" s="2" t="n">
        <v>888</v>
      </c>
      <c r="H42" s="2" t="s">
        <v>15</v>
      </c>
      <c r="I42" s="2" t="s">
        <v>16</v>
      </c>
      <c r="J42" s="2" t="s">
        <v>164</v>
      </c>
      <c r="K42" s="2" t="s">
        <v>16</v>
      </c>
    </row>
    <row r="43" customFormat="false" ht="23.85" hidden="false" customHeight="false" outlineLevel="0" collapsed="false">
      <c r="A43" s="2" t="s">
        <v>165</v>
      </c>
      <c r="B43" s="2" t="n">
        <v>2021</v>
      </c>
      <c r="C43" s="3" t="n">
        <v>44515</v>
      </c>
      <c r="D43" s="2" t="s">
        <v>12</v>
      </c>
      <c r="E43" s="2" t="s">
        <v>166</v>
      </c>
      <c r="F43" s="2" t="s">
        <v>121</v>
      </c>
      <c r="G43" s="2" t="n">
        <v>4293</v>
      </c>
      <c r="H43" s="2" t="s">
        <v>15</v>
      </c>
      <c r="I43" s="2" t="s">
        <v>16</v>
      </c>
      <c r="J43" s="2" t="s">
        <v>167</v>
      </c>
      <c r="K43" s="2" t="s">
        <v>16</v>
      </c>
    </row>
    <row r="44" customFormat="false" ht="23.85" hidden="false" customHeight="false" outlineLevel="0" collapsed="false">
      <c r="A44" s="2" t="s">
        <v>168</v>
      </c>
      <c r="B44" s="2" t="n">
        <v>2021</v>
      </c>
      <c r="C44" s="3" t="n">
        <v>44509</v>
      </c>
      <c r="D44" s="2" t="s">
        <v>80</v>
      </c>
      <c r="E44" s="2" t="s">
        <v>169</v>
      </c>
      <c r="F44" s="2" t="s">
        <v>159</v>
      </c>
      <c r="G44" s="2" t="n">
        <v>542</v>
      </c>
      <c r="H44" s="2" t="s">
        <v>15</v>
      </c>
      <c r="I44" s="2" t="s">
        <v>16</v>
      </c>
      <c r="J44" s="2" t="s">
        <v>170</v>
      </c>
      <c r="K44" s="2" t="s">
        <v>16</v>
      </c>
    </row>
    <row r="45" customFormat="false" ht="23.85" hidden="false" customHeight="false" outlineLevel="0" collapsed="false">
      <c r="A45" s="2" t="s">
        <v>171</v>
      </c>
      <c r="B45" s="2" t="n">
        <v>2021</v>
      </c>
      <c r="C45" s="3" t="n">
        <v>44497</v>
      </c>
      <c r="D45" s="2" t="s">
        <v>12</v>
      </c>
      <c r="E45" s="2" t="s">
        <v>172</v>
      </c>
      <c r="F45" s="2" t="s">
        <v>135</v>
      </c>
      <c r="G45" s="2" t="n">
        <v>515</v>
      </c>
      <c r="H45" s="2" t="s">
        <v>15</v>
      </c>
      <c r="I45" s="2" t="s">
        <v>16</v>
      </c>
      <c r="J45" s="2" t="s">
        <v>173</v>
      </c>
      <c r="K45" s="2" t="s">
        <v>16</v>
      </c>
    </row>
    <row r="46" customFormat="false" ht="23.85" hidden="false" customHeight="false" outlineLevel="0" collapsed="false">
      <c r="A46" s="2" t="s">
        <v>174</v>
      </c>
      <c r="B46" s="2" t="n">
        <v>2021</v>
      </c>
      <c r="C46" s="3" t="n">
        <v>44495</v>
      </c>
      <c r="D46" s="2" t="s">
        <v>31</v>
      </c>
      <c r="E46" s="2" t="s">
        <v>175</v>
      </c>
      <c r="F46" s="2" t="s">
        <v>33</v>
      </c>
      <c r="G46" s="2" t="n">
        <v>615</v>
      </c>
      <c r="H46" s="2" t="s">
        <v>15</v>
      </c>
      <c r="I46" s="2" t="s">
        <v>16</v>
      </c>
      <c r="J46" s="2" t="s">
        <v>176</v>
      </c>
      <c r="K46" s="2" t="s">
        <v>16</v>
      </c>
    </row>
    <row r="47" customFormat="false" ht="23.85" hidden="false" customHeight="false" outlineLevel="0" collapsed="false">
      <c r="A47" s="2" t="s">
        <v>177</v>
      </c>
      <c r="B47" s="2" t="n">
        <v>2021</v>
      </c>
      <c r="C47" s="3" t="n">
        <v>44495</v>
      </c>
      <c r="D47" s="2" t="s">
        <v>12</v>
      </c>
      <c r="E47" s="2" t="s">
        <v>178</v>
      </c>
      <c r="F47" s="2" t="s">
        <v>179</v>
      </c>
      <c r="G47" s="2" t="n">
        <v>471</v>
      </c>
      <c r="H47" s="2" t="s">
        <v>15</v>
      </c>
      <c r="I47" s="2" t="s">
        <v>16</v>
      </c>
      <c r="J47" s="2" t="s">
        <v>180</v>
      </c>
      <c r="K47" s="2" t="s">
        <v>16</v>
      </c>
    </row>
    <row r="48" customFormat="false" ht="23.85" hidden="false" customHeight="false" outlineLevel="0" collapsed="false">
      <c r="A48" s="2" t="s">
        <v>181</v>
      </c>
      <c r="B48" s="2" t="n">
        <v>2021</v>
      </c>
      <c r="C48" s="3" t="n">
        <v>44494</v>
      </c>
      <c r="D48" s="2" t="s">
        <v>12</v>
      </c>
      <c r="E48" s="2" t="s">
        <v>182</v>
      </c>
      <c r="F48" s="2" t="s">
        <v>48</v>
      </c>
      <c r="G48" s="2" t="n">
        <v>861</v>
      </c>
      <c r="H48" s="2" t="s">
        <v>15</v>
      </c>
      <c r="I48" s="2" t="s">
        <v>16</v>
      </c>
      <c r="J48" s="2" t="s">
        <v>183</v>
      </c>
      <c r="K48" s="2" t="s">
        <v>16</v>
      </c>
    </row>
    <row r="49" customFormat="false" ht="23.85" hidden="false" customHeight="false" outlineLevel="0" collapsed="false">
      <c r="A49" s="2" t="s">
        <v>184</v>
      </c>
      <c r="B49" s="2" t="n">
        <v>2021</v>
      </c>
      <c r="C49" s="3" t="n">
        <v>44494</v>
      </c>
      <c r="D49" s="2" t="s">
        <v>12</v>
      </c>
      <c r="E49" s="2" t="s">
        <v>185</v>
      </c>
      <c r="F49" s="2" t="s">
        <v>48</v>
      </c>
      <c r="G49" s="2" t="n">
        <v>3267</v>
      </c>
      <c r="H49" s="2" t="s">
        <v>15</v>
      </c>
      <c r="I49" s="2" t="s">
        <v>16</v>
      </c>
      <c r="J49" s="2" t="s">
        <v>186</v>
      </c>
      <c r="K49" s="2" t="s">
        <v>16</v>
      </c>
    </row>
    <row r="50" customFormat="false" ht="15" hidden="false" customHeight="false" outlineLevel="0" collapsed="false">
      <c r="A50" s="2" t="s">
        <v>187</v>
      </c>
      <c r="B50" s="2" t="n">
        <v>2021</v>
      </c>
      <c r="C50" s="3" t="n">
        <v>44491</v>
      </c>
      <c r="D50" s="2" t="s">
        <v>12</v>
      </c>
      <c r="E50" s="2" t="s">
        <v>188</v>
      </c>
      <c r="F50" s="2" t="s">
        <v>189</v>
      </c>
      <c r="G50" s="2" t="n">
        <v>7731</v>
      </c>
      <c r="H50" s="2" t="s">
        <v>15</v>
      </c>
      <c r="I50" s="2" t="s">
        <v>16</v>
      </c>
      <c r="J50" s="2" t="s">
        <v>190</v>
      </c>
      <c r="K50" s="2" t="s">
        <v>16</v>
      </c>
    </row>
    <row r="51" customFormat="false" ht="23.85" hidden="false" customHeight="false" outlineLevel="0" collapsed="false">
      <c r="A51" s="2" t="s">
        <v>191</v>
      </c>
      <c r="B51" s="2" t="n">
        <v>2021</v>
      </c>
      <c r="C51" s="3" t="n">
        <v>44491</v>
      </c>
      <c r="D51" s="2" t="s">
        <v>80</v>
      </c>
      <c r="E51" s="2" t="s">
        <v>192</v>
      </c>
      <c r="F51" s="2" t="s">
        <v>159</v>
      </c>
      <c r="G51" s="2" t="n">
        <v>305</v>
      </c>
      <c r="H51" s="2" t="s">
        <v>15</v>
      </c>
      <c r="I51" s="2" t="s">
        <v>16</v>
      </c>
      <c r="J51" s="2" t="s">
        <v>193</v>
      </c>
      <c r="K51" s="2" t="s">
        <v>16</v>
      </c>
    </row>
    <row r="52" customFormat="false" ht="23.85" hidden="false" customHeight="false" outlineLevel="0" collapsed="false">
      <c r="A52" s="2" t="s">
        <v>194</v>
      </c>
      <c r="B52" s="2" t="n">
        <v>2021</v>
      </c>
      <c r="C52" s="3" t="n">
        <v>44491</v>
      </c>
      <c r="D52" s="2" t="s">
        <v>80</v>
      </c>
      <c r="E52" s="2" t="s">
        <v>195</v>
      </c>
      <c r="F52" s="2" t="s">
        <v>48</v>
      </c>
      <c r="G52" s="2" t="n">
        <v>3206</v>
      </c>
      <c r="H52" s="2" t="s">
        <v>15</v>
      </c>
      <c r="I52" s="2" t="s">
        <v>16</v>
      </c>
      <c r="J52" s="2" t="s">
        <v>196</v>
      </c>
      <c r="K52" s="2" t="s">
        <v>16</v>
      </c>
    </row>
    <row r="53" customFormat="false" ht="23.85" hidden="false" customHeight="false" outlineLevel="0" collapsed="false">
      <c r="A53" s="2" t="s">
        <v>197</v>
      </c>
      <c r="B53" s="2" t="n">
        <v>2021</v>
      </c>
      <c r="C53" s="3" t="n">
        <v>44491</v>
      </c>
      <c r="D53" s="2" t="s">
        <v>80</v>
      </c>
      <c r="E53" s="2" t="s">
        <v>198</v>
      </c>
      <c r="F53" s="2" t="s">
        <v>159</v>
      </c>
      <c r="G53" s="2" t="n">
        <v>258</v>
      </c>
      <c r="H53" s="2" t="s">
        <v>15</v>
      </c>
      <c r="I53" s="2" t="s">
        <v>16</v>
      </c>
      <c r="J53" s="2" t="s">
        <v>199</v>
      </c>
      <c r="K53" s="2" t="s">
        <v>16</v>
      </c>
    </row>
    <row r="54" customFormat="false" ht="23.85" hidden="false" customHeight="false" outlineLevel="0" collapsed="false">
      <c r="A54" s="2" t="s">
        <v>200</v>
      </c>
      <c r="B54" s="2" t="n">
        <v>2021</v>
      </c>
      <c r="C54" s="3" t="n">
        <v>44491</v>
      </c>
      <c r="D54" s="2" t="s">
        <v>31</v>
      </c>
      <c r="E54" s="2" t="s">
        <v>201</v>
      </c>
      <c r="F54" s="2" t="s">
        <v>202</v>
      </c>
      <c r="G54" s="2" t="n">
        <v>635</v>
      </c>
      <c r="H54" s="2" t="s">
        <v>15</v>
      </c>
      <c r="I54" s="2" t="s">
        <v>16</v>
      </c>
      <c r="J54" s="2" t="s">
        <v>203</v>
      </c>
      <c r="K54" s="2" t="s">
        <v>16</v>
      </c>
    </row>
    <row r="55" customFormat="false" ht="23.85" hidden="false" customHeight="false" outlineLevel="0" collapsed="false">
      <c r="A55" s="2" t="s">
        <v>204</v>
      </c>
      <c r="B55" s="2" t="n">
        <v>2021</v>
      </c>
      <c r="C55" s="3" t="n">
        <v>44490</v>
      </c>
      <c r="D55" s="2" t="s">
        <v>12</v>
      </c>
      <c r="E55" s="2" t="s">
        <v>205</v>
      </c>
      <c r="F55" s="2" t="s">
        <v>155</v>
      </c>
      <c r="G55" s="2" t="n">
        <v>482</v>
      </c>
      <c r="H55" s="2" t="s">
        <v>15</v>
      </c>
      <c r="I55" s="2" t="s">
        <v>16</v>
      </c>
      <c r="J55" s="2" t="s">
        <v>206</v>
      </c>
      <c r="K55" s="2" t="s">
        <v>16</v>
      </c>
    </row>
    <row r="56" customFormat="false" ht="23.85" hidden="false" customHeight="false" outlineLevel="0" collapsed="false">
      <c r="A56" s="2" t="s">
        <v>207</v>
      </c>
      <c r="B56" s="2" t="n">
        <v>2021</v>
      </c>
      <c r="C56" s="3" t="n">
        <v>44482</v>
      </c>
      <c r="D56" s="2" t="s">
        <v>31</v>
      </c>
      <c r="E56" s="2" t="s">
        <v>208</v>
      </c>
      <c r="F56" s="2" t="s">
        <v>48</v>
      </c>
      <c r="G56" s="2" t="n">
        <v>1697</v>
      </c>
      <c r="H56" s="2" t="s">
        <v>15</v>
      </c>
      <c r="I56" s="2" t="s">
        <v>16</v>
      </c>
      <c r="J56" s="2" t="s">
        <v>209</v>
      </c>
      <c r="K56" s="2" t="s">
        <v>16</v>
      </c>
    </row>
    <row r="57" customFormat="false" ht="23.85" hidden="false" customHeight="false" outlineLevel="0" collapsed="false">
      <c r="A57" s="2" t="s">
        <v>210</v>
      </c>
      <c r="B57" s="2" t="n">
        <v>2021</v>
      </c>
      <c r="C57" s="3" t="n">
        <v>44467</v>
      </c>
      <c r="D57" s="2" t="s">
        <v>12</v>
      </c>
      <c r="E57" s="2" t="s">
        <v>211</v>
      </c>
      <c r="F57" s="2" t="s">
        <v>155</v>
      </c>
      <c r="G57" s="2" t="n">
        <v>477</v>
      </c>
      <c r="H57" s="2" t="s">
        <v>15</v>
      </c>
      <c r="I57" s="2" t="s">
        <v>16</v>
      </c>
      <c r="J57" s="2" t="s">
        <v>212</v>
      </c>
      <c r="K57" s="2" t="s">
        <v>16</v>
      </c>
    </row>
    <row r="58" customFormat="false" ht="23.85" hidden="false" customHeight="false" outlineLevel="0" collapsed="false">
      <c r="A58" s="2" t="s">
        <v>213</v>
      </c>
      <c r="B58" s="2" t="n">
        <v>2021</v>
      </c>
      <c r="C58" s="3" t="n">
        <v>44434</v>
      </c>
      <c r="D58" s="2" t="s">
        <v>12</v>
      </c>
      <c r="E58" s="2" t="s">
        <v>214</v>
      </c>
      <c r="F58" s="2" t="s">
        <v>215</v>
      </c>
      <c r="G58" s="2" t="n">
        <v>1259</v>
      </c>
      <c r="H58" s="2" t="s">
        <v>15</v>
      </c>
      <c r="I58" s="2" t="s">
        <v>16</v>
      </c>
      <c r="J58" s="2" t="s">
        <v>216</v>
      </c>
      <c r="K58" s="2" t="s">
        <v>16</v>
      </c>
    </row>
    <row r="59" customFormat="false" ht="23.85" hidden="false" customHeight="false" outlineLevel="0" collapsed="false">
      <c r="A59" s="2" t="s">
        <v>217</v>
      </c>
      <c r="B59" s="2" t="n">
        <v>2021</v>
      </c>
      <c r="C59" s="3" t="n">
        <v>44424</v>
      </c>
      <c r="D59" s="2" t="s">
        <v>12</v>
      </c>
      <c r="E59" s="2" t="s">
        <v>218</v>
      </c>
      <c r="F59" s="2" t="s">
        <v>215</v>
      </c>
      <c r="G59" s="2" t="n">
        <v>309</v>
      </c>
      <c r="H59" s="2" t="s">
        <v>15</v>
      </c>
      <c r="I59" s="2" t="s">
        <v>16</v>
      </c>
      <c r="J59" s="2" t="s">
        <v>219</v>
      </c>
      <c r="K59" s="2" t="s">
        <v>16</v>
      </c>
    </row>
    <row r="60" customFormat="false" ht="23.85" hidden="false" customHeight="false" outlineLevel="0" collapsed="false">
      <c r="A60" s="2" t="s">
        <v>220</v>
      </c>
      <c r="B60" s="2" t="n">
        <v>2021</v>
      </c>
      <c r="C60" s="3" t="n">
        <v>44424</v>
      </c>
      <c r="D60" s="2" t="s">
        <v>12</v>
      </c>
      <c r="E60" s="2" t="s">
        <v>221</v>
      </c>
      <c r="F60" s="2" t="s">
        <v>215</v>
      </c>
      <c r="G60" s="2" t="n">
        <v>1524</v>
      </c>
      <c r="H60" s="2" t="s">
        <v>15</v>
      </c>
      <c r="I60" s="2" t="s">
        <v>16</v>
      </c>
      <c r="J60" s="2" t="s">
        <v>222</v>
      </c>
      <c r="K60" s="2" t="s">
        <v>16</v>
      </c>
    </row>
    <row r="61" customFormat="false" ht="23.85" hidden="false" customHeight="false" outlineLevel="0" collapsed="false">
      <c r="A61" s="2" t="s">
        <v>223</v>
      </c>
      <c r="B61" s="2" t="n">
        <v>2021</v>
      </c>
      <c r="C61" s="3" t="n">
        <v>44417</v>
      </c>
      <c r="D61" s="2" t="s">
        <v>80</v>
      </c>
      <c r="E61" s="2" t="s">
        <v>224</v>
      </c>
      <c r="F61" s="2" t="s">
        <v>159</v>
      </c>
      <c r="G61" s="2" t="n">
        <v>156</v>
      </c>
      <c r="H61" s="2" t="s">
        <v>15</v>
      </c>
      <c r="I61" s="2" t="s">
        <v>16</v>
      </c>
      <c r="J61" s="2" t="s">
        <v>225</v>
      </c>
      <c r="K61" s="2" t="s">
        <v>16</v>
      </c>
    </row>
    <row r="62" customFormat="false" ht="23.85" hidden="false" customHeight="false" outlineLevel="0" collapsed="false">
      <c r="A62" s="2" t="s">
        <v>226</v>
      </c>
      <c r="B62" s="2" t="n">
        <v>2021</v>
      </c>
      <c r="C62" s="3" t="n">
        <v>44365</v>
      </c>
      <c r="D62" s="2" t="s">
        <v>12</v>
      </c>
      <c r="E62" s="2" t="s">
        <v>227</v>
      </c>
      <c r="F62" s="2" t="s">
        <v>228</v>
      </c>
      <c r="G62" s="2" t="n">
        <v>1015</v>
      </c>
      <c r="H62" s="2" t="s">
        <v>15</v>
      </c>
      <c r="I62" s="2" t="s">
        <v>16</v>
      </c>
      <c r="J62" s="2" t="s">
        <v>229</v>
      </c>
      <c r="K62" s="2" t="s">
        <v>16</v>
      </c>
    </row>
    <row r="63" customFormat="false" ht="35.05" hidden="false" customHeight="false" outlineLevel="0" collapsed="false">
      <c r="A63" s="2" t="s">
        <v>230</v>
      </c>
      <c r="B63" s="2" t="n">
        <v>2021</v>
      </c>
      <c r="C63" s="3" t="n">
        <v>44362</v>
      </c>
      <c r="D63" s="2" t="s">
        <v>12</v>
      </c>
      <c r="E63" s="2" t="s">
        <v>231</v>
      </c>
      <c r="F63" s="2" t="s">
        <v>128</v>
      </c>
      <c r="G63" s="2" t="n">
        <v>1299</v>
      </c>
      <c r="H63" s="2" t="s">
        <v>15</v>
      </c>
      <c r="I63" s="2" t="s">
        <v>16</v>
      </c>
      <c r="J63" s="2" t="s">
        <v>232</v>
      </c>
      <c r="K63" s="2" t="s">
        <v>16</v>
      </c>
    </row>
    <row r="64" customFormat="false" ht="23.85" hidden="false" customHeight="false" outlineLevel="0" collapsed="false">
      <c r="A64" s="2" t="s">
        <v>233</v>
      </c>
      <c r="B64" s="2" t="n">
        <v>2021</v>
      </c>
      <c r="C64" s="3" t="n">
        <v>44356</v>
      </c>
      <c r="D64" s="2" t="s">
        <v>80</v>
      </c>
      <c r="E64" s="2" t="s">
        <v>234</v>
      </c>
      <c r="F64" s="2" t="s">
        <v>159</v>
      </c>
      <c r="G64" s="2" t="n">
        <v>513</v>
      </c>
      <c r="H64" s="2" t="s">
        <v>15</v>
      </c>
      <c r="I64" s="2" t="s">
        <v>16</v>
      </c>
      <c r="J64" s="2" t="s">
        <v>235</v>
      </c>
      <c r="K64" s="2" t="s">
        <v>16</v>
      </c>
    </row>
    <row r="65" customFormat="false" ht="23.85" hidden="false" customHeight="false" outlineLevel="0" collapsed="false">
      <c r="A65" s="2" t="s">
        <v>236</v>
      </c>
      <c r="B65" s="2" t="n">
        <v>2021</v>
      </c>
      <c r="C65" s="3" t="n">
        <v>44348</v>
      </c>
      <c r="D65" s="2" t="s">
        <v>80</v>
      </c>
      <c r="E65" s="2" t="s">
        <v>237</v>
      </c>
      <c r="F65" s="2" t="s">
        <v>159</v>
      </c>
      <c r="G65" s="2" t="n">
        <v>768</v>
      </c>
      <c r="H65" s="2" t="s">
        <v>15</v>
      </c>
      <c r="I65" s="2" t="s">
        <v>16</v>
      </c>
      <c r="J65" s="2" t="s">
        <v>238</v>
      </c>
      <c r="K65" s="2" t="s">
        <v>16</v>
      </c>
    </row>
    <row r="66" customFormat="false" ht="35.05" hidden="false" customHeight="false" outlineLevel="0" collapsed="false">
      <c r="A66" s="2" t="s">
        <v>239</v>
      </c>
      <c r="B66" s="2" t="n">
        <v>2021</v>
      </c>
      <c r="C66" s="3" t="n">
        <v>44274</v>
      </c>
      <c r="D66" s="2" t="s">
        <v>12</v>
      </c>
      <c r="E66" s="2" t="s">
        <v>240</v>
      </c>
      <c r="F66" s="2" t="s">
        <v>241</v>
      </c>
      <c r="G66" s="2" t="n">
        <v>10611</v>
      </c>
      <c r="H66" s="2" t="s">
        <v>15</v>
      </c>
      <c r="I66" s="2" t="s">
        <v>16</v>
      </c>
      <c r="J66" s="2" t="s">
        <v>242</v>
      </c>
      <c r="K66" s="2" t="s">
        <v>16</v>
      </c>
    </row>
    <row r="67" customFormat="false" ht="23.85" hidden="false" customHeight="false" outlineLevel="0" collapsed="false">
      <c r="A67" s="2" t="s">
        <v>243</v>
      </c>
      <c r="B67" s="2" t="n">
        <v>2021</v>
      </c>
      <c r="C67" s="3" t="n">
        <v>44253</v>
      </c>
      <c r="D67" s="2" t="s">
        <v>80</v>
      </c>
      <c r="E67" s="2" t="s">
        <v>224</v>
      </c>
      <c r="F67" s="2" t="s">
        <v>159</v>
      </c>
      <c r="G67" s="2" t="n">
        <v>553</v>
      </c>
      <c r="H67" s="2" t="s">
        <v>15</v>
      </c>
      <c r="I67" s="2" t="s">
        <v>16</v>
      </c>
      <c r="J67" s="2" t="s">
        <v>244</v>
      </c>
      <c r="K67" s="2" t="s">
        <v>16</v>
      </c>
    </row>
    <row r="68" customFormat="false" ht="23.85" hidden="false" customHeight="false" outlineLevel="0" collapsed="false">
      <c r="A68" s="2" t="s">
        <v>245</v>
      </c>
      <c r="B68" s="2" t="n">
        <v>2021</v>
      </c>
      <c r="C68" s="3" t="n">
        <v>44253</v>
      </c>
      <c r="D68" s="2" t="s">
        <v>31</v>
      </c>
      <c r="E68" s="2" t="s">
        <v>246</v>
      </c>
      <c r="F68" s="2" t="s">
        <v>21</v>
      </c>
      <c r="G68" s="2" t="n">
        <v>334</v>
      </c>
      <c r="H68" s="2" t="s">
        <v>15</v>
      </c>
      <c r="I68" s="2" t="s">
        <v>16</v>
      </c>
      <c r="J68" s="2" t="s">
        <v>247</v>
      </c>
      <c r="K68" s="2" t="s">
        <v>16</v>
      </c>
    </row>
    <row r="69" customFormat="false" ht="23.85" hidden="false" customHeight="false" outlineLevel="0" collapsed="false">
      <c r="A69" s="2" t="s">
        <v>248</v>
      </c>
      <c r="B69" s="2" t="n">
        <v>2021</v>
      </c>
      <c r="C69" s="3" t="n">
        <v>44253</v>
      </c>
      <c r="D69" s="2" t="s">
        <v>80</v>
      </c>
      <c r="E69" s="2" t="s">
        <v>249</v>
      </c>
      <c r="F69" s="2" t="s">
        <v>159</v>
      </c>
      <c r="G69" s="2" t="n">
        <v>219</v>
      </c>
      <c r="H69" s="2" t="s">
        <v>15</v>
      </c>
      <c r="I69" s="2" t="s">
        <v>16</v>
      </c>
      <c r="J69" s="2" t="s">
        <v>250</v>
      </c>
      <c r="K69" s="2" t="s">
        <v>16</v>
      </c>
    </row>
    <row r="70" customFormat="false" ht="23.85" hidden="false" customHeight="false" outlineLevel="0" collapsed="false">
      <c r="A70" s="2" t="s">
        <v>251</v>
      </c>
      <c r="B70" s="2" t="n">
        <v>2021</v>
      </c>
      <c r="C70" s="3" t="n">
        <v>44237</v>
      </c>
      <c r="D70" s="2" t="s">
        <v>12</v>
      </c>
      <c r="E70" s="2" t="s">
        <v>246</v>
      </c>
      <c r="F70" s="2" t="s">
        <v>215</v>
      </c>
      <c r="G70" s="2" t="n">
        <v>344</v>
      </c>
      <c r="H70" s="2" t="s">
        <v>15</v>
      </c>
      <c r="I70" s="2" t="s">
        <v>16</v>
      </c>
      <c r="J70" s="2" t="s">
        <v>252</v>
      </c>
      <c r="K70" s="2" t="s">
        <v>16</v>
      </c>
    </row>
    <row r="71" customFormat="false" ht="23.85" hidden="false" customHeight="false" outlineLevel="0" collapsed="false">
      <c r="A71" s="2" t="s">
        <v>253</v>
      </c>
      <c r="B71" s="2" t="n">
        <v>2021</v>
      </c>
      <c r="C71" s="3" t="n">
        <v>44204</v>
      </c>
      <c r="D71" s="2" t="s">
        <v>80</v>
      </c>
      <c r="E71" s="2" t="s">
        <v>254</v>
      </c>
      <c r="F71" s="2" t="s">
        <v>159</v>
      </c>
      <c r="G71" s="2" t="n">
        <v>863</v>
      </c>
      <c r="H71" s="2" t="s">
        <v>15</v>
      </c>
      <c r="I71" s="2" t="s">
        <v>16</v>
      </c>
      <c r="J71" s="2" t="s">
        <v>255</v>
      </c>
      <c r="K71" s="2" t="s">
        <v>16</v>
      </c>
    </row>
    <row r="72" customFormat="false" ht="23.85" hidden="false" customHeight="false" outlineLevel="0" collapsed="false">
      <c r="A72" s="2" t="s">
        <v>256</v>
      </c>
      <c r="B72" s="2" t="n">
        <v>2021</v>
      </c>
      <c r="C72" s="3" t="n">
        <v>44202</v>
      </c>
      <c r="D72" s="2" t="s">
        <v>12</v>
      </c>
      <c r="E72" s="2" t="s">
        <v>257</v>
      </c>
      <c r="F72" s="2" t="s">
        <v>21</v>
      </c>
      <c r="G72" s="2" t="n">
        <v>597</v>
      </c>
      <c r="H72" s="2" t="s">
        <v>15</v>
      </c>
      <c r="I72" s="2" t="s">
        <v>16</v>
      </c>
      <c r="J72" s="2" t="s">
        <v>258</v>
      </c>
      <c r="K72" s="2" t="s">
        <v>16</v>
      </c>
    </row>
    <row r="73" customFormat="false" ht="57.45" hidden="false" customHeight="false" outlineLevel="0" collapsed="false">
      <c r="A73" s="2" t="s">
        <v>259</v>
      </c>
      <c r="B73" s="2" t="n">
        <v>2022</v>
      </c>
      <c r="C73" s="3" t="n">
        <v>44922</v>
      </c>
      <c r="D73" s="2" t="s">
        <v>12</v>
      </c>
      <c r="E73" s="2" t="s">
        <v>260</v>
      </c>
      <c r="F73" s="2" t="s">
        <v>261</v>
      </c>
      <c r="G73" s="2" t="n">
        <v>242</v>
      </c>
      <c r="H73" s="2" t="s">
        <v>22</v>
      </c>
      <c r="I73" s="2" t="s">
        <v>262</v>
      </c>
      <c r="J73" s="2" t="s">
        <v>263</v>
      </c>
      <c r="K73" s="2" t="s">
        <v>262</v>
      </c>
    </row>
    <row r="74" customFormat="false" ht="79.85" hidden="false" customHeight="false" outlineLevel="0" collapsed="false">
      <c r="A74" s="2" t="s">
        <v>264</v>
      </c>
      <c r="B74" s="2" t="n">
        <v>2022</v>
      </c>
      <c r="C74" s="3" t="n">
        <v>44860</v>
      </c>
      <c r="D74" s="2" t="s">
        <v>12</v>
      </c>
      <c r="E74" s="2" t="s">
        <v>265</v>
      </c>
      <c r="F74" s="2" t="s">
        <v>266</v>
      </c>
      <c r="G74" s="2" t="n">
        <v>230</v>
      </c>
      <c r="H74" s="2" t="s">
        <v>22</v>
      </c>
      <c r="I74" s="2" t="s">
        <v>262</v>
      </c>
      <c r="J74" s="2" t="s">
        <v>267</v>
      </c>
      <c r="K74" s="2" t="s">
        <v>262</v>
      </c>
    </row>
    <row r="75" customFormat="false" ht="35.05" hidden="false" customHeight="false" outlineLevel="0" collapsed="false">
      <c r="A75" s="2" t="s">
        <v>268</v>
      </c>
      <c r="B75" s="2" t="n">
        <v>2022</v>
      </c>
      <c r="C75" s="3" t="n">
        <v>44818</v>
      </c>
      <c r="D75" s="2" t="s">
        <v>12</v>
      </c>
      <c r="E75" s="2" t="s">
        <v>269</v>
      </c>
      <c r="F75" s="2" t="s">
        <v>270</v>
      </c>
      <c r="G75" s="2" t="n">
        <v>830</v>
      </c>
      <c r="H75" s="2" t="s">
        <v>22</v>
      </c>
      <c r="I75" s="2" t="s">
        <v>262</v>
      </c>
      <c r="J75" s="2" t="s">
        <v>271</v>
      </c>
      <c r="K75" s="2" t="s">
        <v>262</v>
      </c>
    </row>
    <row r="76" customFormat="false" ht="46.25" hidden="false" customHeight="false" outlineLevel="0" collapsed="false">
      <c r="A76" s="2" t="s">
        <v>272</v>
      </c>
      <c r="B76" s="2" t="n">
        <v>2022</v>
      </c>
      <c r="C76" s="3" t="n">
        <v>44798</v>
      </c>
      <c r="D76" s="2" t="s">
        <v>12</v>
      </c>
      <c r="E76" s="2" t="s">
        <v>273</v>
      </c>
      <c r="F76" s="2" t="s">
        <v>37</v>
      </c>
      <c r="G76" s="2" t="n">
        <v>1118</v>
      </c>
      <c r="H76" s="2" t="s">
        <v>15</v>
      </c>
      <c r="I76" s="2" t="s">
        <v>262</v>
      </c>
      <c r="J76" s="2" t="s">
        <v>274</v>
      </c>
      <c r="K76" s="2" t="s">
        <v>262</v>
      </c>
    </row>
    <row r="77" customFormat="false" ht="191.75" hidden="false" customHeight="false" outlineLevel="0" collapsed="false">
      <c r="A77" s="2" t="s">
        <v>275</v>
      </c>
      <c r="B77" s="2" t="n">
        <v>2022</v>
      </c>
      <c r="C77" s="3" t="n">
        <v>44797</v>
      </c>
      <c r="D77" s="2" t="s">
        <v>12</v>
      </c>
      <c r="E77" s="2" t="s">
        <v>276</v>
      </c>
      <c r="F77" s="2" t="s">
        <v>37</v>
      </c>
      <c r="G77" s="2" t="n">
        <v>1060</v>
      </c>
      <c r="H77" s="2" t="s">
        <v>22</v>
      </c>
      <c r="I77" s="2" t="s">
        <v>262</v>
      </c>
      <c r="J77" s="2" t="s">
        <v>277</v>
      </c>
      <c r="K77" s="2" t="s">
        <v>262</v>
      </c>
    </row>
    <row r="78" customFormat="false" ht="46.25" hidden="false" customHeight="false" outlineLevel="0" collapsed="false">
      <c r="A78" s="2" t="s">
        <v>278</v>
      </c>
      <c r="B78" s="2" t="n">
        <v>2022</v>
      </c>
      <c r="C78" s="3" t="n">
        <v>44789</v>
      </c>
      <c r="D78" s="2" t="s">
        <v>12</v>
      </c>
      <c r="E78" s="2" t="s">
        <v>279</v>
      </c>
      <c r="F78" s="2" t="s">
        <v>37</v>
      </c>
      <c r="G78" s="2" t="n">
        <v>1026</v>
      </c>
      <c r="H78" s="2" t="s">
        <v>15</v>
      </c>
      <c r="I78" s="2" t="s">
        <v>262</v>
      </c>
      <c r="J78" s="2" t="s">
        <v>280</v>
      </c>
      <c r="K78" s="2" t="s">
        <v>262</v>
      </c>
    </row>
    <row r="79" customFormat="false" ht="46.25" hidden="false" customHeight="false" outlineLevel="0" collapsed="false">
      <c r="A79" s="2" t="s">
        <v>281</v>
      </c>
      <c r="B79" s="2" t="n">
        <v>2022</v>
      </c>
      <c r="C79" s="3" t="n">
        <v>44777</v>
      </c>
      <c r="D79" s="2" t="s">
        <v>19</v>
      </c>
      <c r="E79" s="2" t="s">
        <v>282</v>
      </c>
      <c r="F79" s="2" t="s">
        <v>33</v>
      </c>
      <c r="G79" s="2" t="n">
        <v>206</v>
      </c>
      <c r="H79" s="2" t="s">
        <v>22</v>
      </c>
      <c r="I79" s="2" t="s">
        <v>262</v>
      </c>
      <c r="J79" s="2" t="s">
        <v>283</v>
      </c>
      <c r="K79" s="2" t="s">
        <v>262</v>
      </c>
    </row>
    <row r="80" customFormat="false" ht="35.05" hidden="false" customHeight="false" outlineLevel="0" collapsed="false">
      <c r="A80" s="2" t="s">
        <v>284</v>
      </c>
      <c r="B80" s="2" t="n">
        <v>2022</v>
      </c>
      <c r="C80" s="3" t="n">
        <v>44771</v>
      </c>
      <c r="D80" s="2" t="s">
        <v>19</v>
      </c>
      <c r="E80" s="2" t="s">
        <v>285</v>
      </c>
      <c r="F80" s="2" t="s">
        <v>33</v>
      </c>
      <c r="G80" s="2" t="n">
        <v>367</v>
      </c>
      <c r="H80" s="2" t="s">
        <v>22</v>
      </c>
      <c r="I80" s="2" t="s">
        <v>262</v>
      </c>
      <c r="J80" s="2" t="s">
        <v>286</v>
      </c>
      <c r="K80" s="2" t="s">
        <v>262</v>
      </c>
    </row>
    <row r="81" customFormat="false" ht="57.45" hidden="false" customHeight="false" outlineLevel="0" collapsed="false">
      <c r="A81" s="2" t="s">
        <v>287</v>
      </c>
      <c r="B81" s="2" t="n">
        <v>2022</v>
      </c>
      <c r="C81" s="3" t="n">
        <v>44762</v>
      </c>
      <c r="D81" s="2" t="s">
        <v>12</v>
      </c>
      <c r="E81" s="2" t="s">
        <v>288</v>
      </c>
      <c r="F81" s="2" t="s">
        <v>289</v>
      </c>
      <c r="G81" s="2" t="n">
        <v>503</v>
      </c>
      <c r="H81" s="2" t="s">
        <v>22</v>
      </c>
      <c r="I81" s="2" t="s">
        <v>262</v>
      </c>
      <c r="J81" s="2" t="s">
        <v>290</v>
      </c>
      <c r="K81" s="2" t="s">
        <v>262</v>
      </c>
    </row>
    <row r="82" customFormat="false" ht="35.05" hidden="false" customHeight="false" outlineLevel="0" collapsed="false">
      <c r="A82" s="2" t="s">
        <v>291</v>
      </c>
      <c r="B82" s="2" t="n">
        <v>2022</v>
      </c>
      <c r="C82" s="3" t="n">
        <v>44588</v>
      </c>
      <c r="D82" s="2" t="s">
        <v>12</v>
      </c>
      <c r="E82" s="2" t="s">
        <v>292</v>
      </c>
      <c r="F82" s="2" t="s">
        <v>293</v>
      </c>
      <c r="G82" s="2" t="n">
        <v>655</v>
      </c>
      <c r="H82" s="2" t="s">
        <v>15</v>
      </c>
      <c r="I82" s="2" t="s">
        <v>262</v>
      </c>
      <c r="J82" s="2" t="s">
        <v>294</v>
      </c>
      <c r="K82" s="2" t="s">
        <v>262</v>
      </c>
    </row>
    <row r="83" customFormat="false" ht="23.85" hidden="false" customHeight="false" outlineLevel="0" collapsed="false">
      <c r="A83" s="2" t="s">
        <v>295</v>
      </c>
      <c r="B83" s="2" t="n">
        <v>2021</v>
      </c>
      <c r="C83" s="3" t="n">
        <v>44495</v>
      </c>
      <c r="D83" s="2" t="s">
        <v>12</v>
      </c>
      <c r="E83" s="2" t="s">
        <v>296</v>
      </c>
      <c r="F83" s="2" t="s">
        <v>179</v>
      </c>
      <c r="G83" s="2" t="n">
        <v>464</v>
      </c>
      <c r="H83" s="2" t="s">
        <v>15</v>
      </c>
      <c r="I83" s="2" t="s">
        <v>262</v>
      </c>
      <c r="J83" s="2" t="s">
        <v>297</v>
      </c>
      <c r="K83" s="2" t="s">
        <v>262</v>
      </c>
    </row>
    <row r="84" customFormat="false" ht="23.85" hidden="false" customHeight="false" outlineLevel="0" collapsed="false">
      <c r="A84" s="2" t="s">
        <v>298</v>
      </c>
      <c r="B84" s="2" t="n">
        <v>2021</v>
      </c>
      <c r="C84" s="3" t="n">
        <v>44481</v>
      </c>
      <c r="D84" s="2" t="s">
        <v>12</v>
      </c>
      <c r="E84" s="2" t="s">
        <v>299</v>
      </c>
      <c r="F84" s="2" t="s">
        <v>228</v>
      </c>
      <c r="G84" s="2" t="n">
        <v>342</v>
      </c>
      <c r="H84" s="2" t="s">
        <v>15</v>
      </c>
      <c r="I84" s="2" t="s">
        <v>262</v>
      </c>
      <c r="J84" s="2" t="s">
        <v>300</v>
      </c>
      <c r="K84" s="2" t="s">
        <v>262</v>
      </c>
    </row>
    <row r="85" customFormat="false" ht="23.85" hidden="false" customHeight="false" outlineLevel="0" collapsed="false">
      <c r="A85" s="2" t="s">
        <v>301</v>
      </c>
      <c r="B85" s="2" t="n">
        <v>2021</v>
      </c>
      <c r="C85" s="3" t="n">
        <v>44468</v>
      </c>
      <c r="D85" s="2" t="s">
        <v>80</v>
      </c>
      <c r="E85" s="2" t="s">
        <v>302</v>
      </c>
      <c r="F85" s="2" t="s">
        <v>159</v>
      </c>
      <c r="G85" s="2" t="n">
        <v>348</v>
      </c>
      <c r="H85" s="2" t="s">
        <v>15</v>
      </c>
      <c r="I85" s="2" t="s">
        <v>262</v>
      </c>
      <c r="J85" s="2" t="s">
        <v>303</v>
      </c>
      <c r="K85" s="2" t="s">
        <v>262</v>
      </c>
    </row>
    <row r="86" customFormat="false" ht="23.85" hidden="false" customHeight="false" outlineLevel="0" collapsed="false">
      <c r="A86" s="2" t="s">
        <v>304</v>
      </c>
      <c r="B86" s="2" t="n">
        <v>2021</v>
      </c>
      <c r="C86" s="3" t="n">
        <v>44411</v>
      </c>
      <c r="D86" s="2" t="s">
        <v>12</v>
      </c>
      <c r="E86" s="2" t="s">
        <v>305</v>
      </c>
      <c r="F86" s="2" t="s">
        <v>155</v>
      </c>
      <c r="G86" s="2" t="n">
        <v>427</v>
      </c>
      <c r="H86" s="2" t="s">
        <v>15</v>
      </c>
      <c r="I86" s="2" t="s">
        <v>262</v>
      </c>
      <c r="J86" s="2" t="s">
        <v>306</v>
      </c>
      <c r="K86" s="2" t="s">
        <v>262</v>
      </c>
    </row>
    <row r="87" customFormat="false" ht="23.85" hidden="false" customHeight="false" outlineLevel="0" collapsed="false">
      <c r="A87" s="2" t="s">
        <v>307</v>
      </c>
      <c r="B87" s="2" t="n">
        <v>2021</v>
      </c>
      <c r="C87" s="3" t="n">
        <v>44286</v>
      </c>
      <c r="D87" s="2" t="s">
        <v>12</v>
      </c>
      <c r="E87" s="2" t="s">
        <v>308</v>
      </c>
      <c r="F87" s="2" t="s">
        <v>135</v>
      </c>
      <c r="G87" s="2" t="n">
        <v>505</v>
      </c>
      <c r="H87" s="2" t="s">
        <v>15</v>
      </c>
      <c r="I87" s="2" t="s">
        <v>262</v>
      </c>
      <c r="J87" s="2" t="s">
        <v>309</v>
      </c>
      <c r="K87" s="2" t="s">
        <v>262</v>
      </c>
    </row>
  </sheetData>
  <autoFilter ref="A1:K8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7"/>
    <col collapsed="false" customWidth="true" hidden="false" outlineLevel="0" max="3" min="3" style="0" width="12"/>
    <col collapsed="false" customWidth="true" hidden="false" outlineLevel="0" max="4" min="4" style="0" width="18"/>
    <col collapsed="false" customWidth="true" hidden="false" outlineLevel="0" max="5" min="5" style="0" width="70"/>
    <col collapsed="false" customWidth="true" hidden="false" outlineLevel="0" max="6" min="6" style="0" width="10"/>
    <col collapsed="false" customWidth="true" hidden="false" outlineLevel="0" max="7" min="7" style="0" width="28"/>
    <col collapsed="false" customWidth="true" hidden="false" outlineLevel="0" max="8" min="8" style="0" width="60"/>
  </cols>
  <sheetData>
    <row r="1" customFormat="false" ht="15" hidden="false" customHeight="false" outlineLevel="0" collapsed="false">
      <c r="A1" s="1" t="s">
        <v>0</v>
      </c>
      <c r="B1" s="1" t="s">
        <v>1</v>
      </c>
      <c r="C1" s="1" t="s">
        <v>2</v>
      </c>
      <c r="D1" s="1" t="s">
        <v>3</v>
      </c>
      <c r="E1" s="1" t="s">
        <v>4</v>
      </c>
      <c r="F1" s="1" t="s">
        <v>6</v>
      </c>
      <c r="G1" s="1" t="s">
        <v>310</v>
      </c>
      <c r="H1" s="1" t="s">
        <v>9</v>
      </c>
    </row>
    <row r="2" customFormat="false" ht="46.25" hidden="false" customHeight="false" outlineLevel="0" collapsed="false">
      <c r="A2" s="2" t="s">
        <v>311</v>
      </c>
      <c r="B2" s="2" t="n">
        <v>2023</v>
      </c>
      <c r="C2" s="3" t="n">
        <v>45071</v>
      </c>
      <c r="D2" s="2" t="s">
        <v>312</v>
      </c>
      <c r="E2" s="2" t="s">
        <v>313</v>
      </c>
      <c r="F2" s="2" t="n">
        <v>0</v>
      </c>
      <c r="G2" s="2" t="s">
        <v>314</v>
      </c>
      <c r="H2" s="2" t="s">
        <v>315</v>
      </c>
    </row>
    <row r="3" customFormat="false" ht="57.45" hidden="false" customHeight="false" outlineLevel="0" collapsed="false">
      <c r="A3" s="2" t="s">
        <v>316</v>
      </c>
      <c r="B3" s="2" t="n">
        <v>2023</v>
      </c>
      <c r="C3" s="3" t="n">
        <v>45064</v>
      </c>
      <c r="D3" s="2" t="s">
        <v>312</v>
      </c>
      <c r="E3" s="2" t="s">
        <v>317</v>
      </c>
      <c r="F3" s="2" t="n">
        <v>0</v>
      </c>
      <c r="G3" s="2" t="s">
        <v>314</v>
      </c>
      <c r="H3" s="2" t="s">
        <v>318</v>
      </c>
    </row>
    <row r="4" customFormat="false" ht="57.45" hidden="false" customHeight="false" outlineLevel="0" collapsed="false">
      <c r="A4" s="2" t="s">
        <v>319</v>
      </c>
      <c r="B4" s="2" t="n">
        <v>2023</v>
      </c>
      <c r="C4" s="3" t="n">
        <v>45062</v>
      </c>
      <c r="D4" s="2" t="s">
        <v>31</v>
      </c>
      <c r="E4" s="2" t="s">
        <v>320</v>
      </c>
      <c r="F4" s="2" t="n">
        <v>0</v>
      </c>
      <c r="G4" s="2" t="s">
        <v>314</v>
      </c>
      <c r="H4" s="2" t="s">
        <v>321</v>
      </c>
    </row>
    <row r="5" customFormat="false" ht="46.25" hidden="false" customHeight="false" outlineLevel="0" collapsed="false">
      <c r="A5" s="2" t="s">
        <v>322</v>
      </c>
      <c r="B5" s="2" t="n">
        <v>2023</v>
      </c>
      <c r="C5" s="3" t="n">
        <v>45061</v>
      </c>
      <c r="D5" s="2" t="s">
        <v>12</v>
      </c>
      <c r="E5" s="2" t="s">
        <v>323</v>
      </c>
      <c r="F5" s="2" t="n">
        <v>0</v>
      </c>
      <c r="G5" s="2" t="s">
        <v>314</v>
      </c>
      <c r="H5" s="2" t="s">
        <v>324</v>
      </c>
    </row>
    <row r="6" customFormat="false" ht="35.05" hidden="false" customHeight="false" outlineLevel="0" collapsed="false">
      <c r="A6" s="2" t="s">
        <v>325</v>
      </c>
      <c r="B6" s="2" t="n">
        <v>2023</v>
      </c>
      <c r="C6" s="3" t="n">
        <v>45058</v>
      </c>
      <c r="D6" s="2" t="s">
        <v>326</v>
      </c>
      <c r="E6" s="2" t="s">
        <v>327</v>
      </c>
      <c r="F6" s="2" t="n">
        <v>0</v>
      </c>
      <c r="G6" s="2" t="s">
        <v>314</v>
      </c>
      <c r="H6" s="2" t="s">
        <v>328</v>
      </c>
    </row>
    <row r="7" customFormat="false" ht="57.45" hidden="false" customHeight="false" outlineLevel="0" collapsed="false">
      <c r="A7" s="2" t="s">
        <v>329</v>
      </c>
      <c r="B7" s="2" t="n">
        <v>2023</v>
      </c>
      <c r="C7" s="3" t="n">
        <v>45057</v>
      </c>
      <c r="D7" s="2" t="s">
        <v>12</v>
      </c>
      <c r="E7" s="2" t="s">
        <v>330</v>
      </c>
      <c r="F7" s="2" t="n">
        <v>0</v>
      </c>
      <c r="G7" s="2" t="s">
        <v>314</v>
      </c>
      <c r="H7" s="2" t="s">
        <v>331</v>
      </c>
    </row>
    <row r="8" customFormat="false" ht="35.05" hidden="false" customHeight="false" outlineLevel="0" collapsed="false">
      <c r="A8" s="2" t="s">
        <v>332</v>
      </c>
      <c r="B8" s="2" t="n">
        <v>2023</v>
      </c>
      <c r="C8" s="3" t="n">
        <v>45056</v>
      </c>
      <c r="D8" s="2" t="s">
        <v>312</v>
      </c>
      <c r="E8" s="2" t="s">
        <v>333</v>
      </c>
      <c r="F8" s="2" t="n">
        <v>0</v>
      </c>
      <c r="G8" s="2" t="s">
        <v>314</v>
      </c>
      <c r="H8" s="2" t="s">
        <v>334</v>
      </c>
    </row>
    <row r="9" customFormat="false" ht="46.25" hidden="false" customHeight="false" outlineLevel="0" collapsed="false">
      <c r="A9" s="2" t="s">
        <v>335</v>
      </c>
      <c r="B9" s="2" t="n">
        <v>2023</v>
      </c>
      <c r="C9" s="3" t="n">
        <v>45056</v>
      </c>
      <c r="D9" s="2" t="s">
        <v>312</v>
      </c>
      <c r="E9" s="2" t="s">
        <v>336</v>
      </c>
      <c r="F9" s="2" t="n">
        <v>0</v>
      </c>
      <c r="G9" s="2" t="s">
        <v>314</v>
      </c>
      <c r="H9" s="2" t="s">
        <v>337</v>
      </c>
    </row>
    <row r="10" customFormat="false" ht="46.25" hidden="false" customHeight="false" outlineLevel="0" collapsed="false">
      <c r="A10" s="2" t="s">
        <v>338</v>
      </c>
      <c r="B10" s="2" t="n">
        <v>2023</v>
      </c>
      <c r="C10" s="3" t="n">
        <v>45055</v>
      </c>
      <c r="D10" s="2" t="s">
        <v>12</v>
      </c>
      <c r="E10" s="2" t="s">
        <v>339</v>
      </c>
      <c r="F10" s="2" t="n">
        <v>0</v>
      </c>
      <c r="G10" s="2" t="s">
        <v>314</v>
      </c>
      <c r="H10" s="2" t="s">
        <v>340</v>
      </c>
    </row>
    <row r="11" customFormat="false" ht="46.25" hidden="false" customHeight="false" outlineLevel="0" collapsed="false">
      <c r="A11" s="2" t="s">
        <v>341</v>
      </c>
      <c r="B11" s="2" t="n">
        <v>2023</v>
      </c>
      <c r="C11" s="3" t="n">
        <v>45055</v>
      </c>
      <c r="D11" s="2" t="s">
        <v>326</v>
      </c>
      <c r="E11" s="2" t="s">
        <v>342</v>
      </c>
      <c r="F11" s="2" t="n">
        <v>0</v>
      </c>
      <c r="G11" s="2" t="s">
        <v>314</v>
      </c>
      <c r="H11" s="2" t="s">
        <v>343</v>
      </c>
    </row>
    <row r="12" customFormat="false" ht="57.45" hidden="false" customHeight="false" outlineLevel="0" collapsed="false">
      <c r="A12" s="2" t="s">
        <v>344</v>
      </c>
      <c r="B12" s="2" t="n">
        <v>2023</v>
      </c>
      <c r="C12" s="3" t="n">
        <v>45055</v>
      </c>
      <c r="D12" s="2" t="s">
        <v>326</v>
      </c>
      <c r="E12" s="2" t="s">
        <v>345</v>
      </c>
      <c r="F12" s="2" t="n">
        <v>0</v>
      </c>
      <c r="G12" s="2" t="s">
        <v>314</v>
      </c>
      <c r="H12" s="2" t="s">
        <v>346</v>
      </c>
    </row>
    <row r="13" customFormat="false" ht="35.05" hidden="false" customHeight="false" outlineLevel="0" collapsed="false">
      <c r="A13" s="2" t="s">
        <v>347</v>
      </c>
      <c r="B13" s="2" t="n">
        <v>2023</v>
      </c>
      <c r="C13" s="3" t="n">
        <v>45050</v>
      </c>
      <c r="D13" s="2" t="s">
        <v>348</v>
      </c>
      <c r="E13" s="2" t="s">
        <v>349</v>
      </c>
      <c r="F13" s="2" t="n">
        <v>0</v>
      </c>
      <c r="G13" s="2" t="s">
        <v>314</v>
      </c>
      <c r="H13" s="2" t="s">
        <v>350</v>
      </c>
    </row>
    <row r="14" customFormat="false" ht="46.25" hidden="false" customHeight="false" outlineLevel="0" collapsed="false">
      <c r="A14" s="2" t="s">
        <v>351</v>
      </c>
      <c r="B14" s="2" t="n">
        <v>2023</v>
      </c>
      <c r="C14" s="3" t="n">
        <v>45049</v>
      </c>
      <c r="D14" s="2" t="s">
        <v>312</v>
      </c>
      <c r="E14" s="2" t="s">
        <v>352</v>
      </c>
      <c r="F14" s="2" t="n">
        <v>0</v>
      </c>
      <c r="G14" s="2" t="s">
        <v>314</v>
      </c>
      <c r="H14" s="2" t="s">
        <v>353</v>
      </c>
    </row>
    <row r="15" customFormat="false" ht="57.45" hidden="false" customHeight="false" outlineLevel="0" collapsed="false">
      <c r="A15" s="2" t="s">
        <v>354</v>
      </c>
      <c r="B15" s="2" t="n">
        <v>2023</v>
      </c>
      <c r="C15" s="3" t="n">
        <v>44985</v>
      </c>
      <c r="D15" s="2" t="s">
        <v>355</v>
      </c>
      <c r="E15" s="2" t="s">
        <v>356</v>
      </c>
      <c r="F15" s="2" t="n">
        <v>0</v>
      </c>
      <c r="G15" s="2" t="s">
        <v>314</v>
      </c>
      <c r="H15" s="2" t="s">
        <v>357</v>
      </c>
    </row>
    <row r="16" customFormat="false" ht="57.45" hidden="false" customHeight="false" outlineLevel="0" collapsed="false">
      <c r="A16" s="2" t="s">
        <v>358</v>
      </c>
      <c r="B16" s="2" t="n">
        <v>2023</v>
      </c>
      <c r="C16" s="3" t="n">
        <v>44985</v>
      </c>
      <c r="D16" s="2" t="s">
        <v>355</v>
      </c>
      <c r="E16" s="2" t="s">
        <v>359</v>
      </c>
      <c r="F16" s="2" t="n">
        <v>0</v>
      </c>
      <c r="G16" s="2" t="s">
        <v>314</v>
      </c>
      <c r="H16" s="2" t="s">
        <v>360</v>
      </c>
    </row>
    <row r="17" customFormat="false" ht="46.25" hidden="false" customHeight="false" outlineLevel="0" collapsed="false">
      <c r="A17" s="2" t="s">
        <v>361</v>
      </c>
      <c r="B17" s="2" t="n">
        <v>2023</v>
      </c>
      <c r="C17" s="3" t="n">
        <v>44977</v>
      </c>
      <c r="D17" s="2" t="s">
        <v>31</v>
      </c>
      <c r="E17" s="2" t="s">
        <v>362</v>
      </c>
      <c r="F17" s="2" t="n">
        <v>0</v>
      </c>
      <c r="G17" s="2" t="s">
        <v>314</v>
      </c>
      <c r="H17" s="2" t="s">
        <v>363</v>
      </c>
    </row>
    <row r="18" customFormat="false" ht="46.25" hidden="false" customHeight="false" outlineLevel="0" collapsed="false">
      <c r="A18" s="2" t="s">
        <v>364</v>
      </c>
      <c r="B18" s="2" t="n">
        <v>2023</v>
      </c>
      <c r="C18" s="3" t="n">
        <v>44973</v>
      </c>
      <c r="D18" s="2" t="s">
        <v>75</v>
      </c>
      <c r="E18" s="2" t="s">
        <v>365</v>
      </c>
      <c r="F18" s="2" t="n">
        <v>0</v>
      </c>
      <c r="G18" s="2" t="s">
        <v>314</v>
      </c>
      <c r="H18" s="2" t="s">
        <v>366</v>
      </c>
    </row>
    <row r="19" customFormat="false" ht="46.25" hidden="false" customHeight="false" outlineLevel="0" collapsed="false">
      <c r="A19" s="2" t="s">
        <v>367</v>
      </c>
      <c r="B19" s="2" t="n">
        <v>2023</v>
      </c>
      <c r="C19" s="3" t="n">
        <v>44950</v>
      </c>
      <c r="D19" s="2" t="s">
        <v>12</v>
      </c>
      <c r="E19" s="2" t="s">
        <v>368</v>
      </c>
      <c r="F19" s="2" t="n">
        <v>0</v>
      </c>
      <c r="G19" s="2" t="s">
        <v>314</v>
      </c>
      <c r="H19" s="2" t="s">
        <v>369</v>
      </c>
    </row>
    <row r="20" customFormat="false" ht="46.25" hidden="false" customHeight="false" outlineLevel="0" collapsed="false">
      <c r="A20" s="2" t="s">
        <v>370</v>
      </c>
      <c r="B20" s="2" t="n">
        <v>2023</v>
      </c>
      <c r="C20" s="3" t="n">
        <v>44944</v>
      </c>
      <c r="D20" s="2" t="s">
        <v>31</v>
      </c>
      <c r="E20" s="2" t="s">
        <v>371</v>
      </c>
      <c r="F20" s="2" t="n">
        <v>0</v>
      </c>
      <c r="G20" s="2" t="s">
        <v>314</v>
      </c>
      <c r="H20" s="2" t="s">
        <v>372</v>
      </c>
    </row>
    <row r="21" customFormat="false" ht="57.45" hidden="false" customHeight="false" outlineLevel="0" collapsed="false">
      <c r="A21" s="2" t="s">
        <v>373</v>
      </c>
      <c r="B21" s="2" t="n">
        <v>2023</v>
      </c>
      <c r="C21" s="3" t="n">
        <v>44939</v>
      </c>
      <c r="D21" s="2" t="s">
        <v>374</v>
      </c>
      <c r="E21" s="2" t="s">
        <v>375</v>
      </c>
      <c r="F21" s="2" t="n">
        <v>0</v>
      </c>
      <c r="G21" s="2" t="s">
        <v>314</v>
      </c>
      <c r="H21" s="2" t="s">
        <v>376</v>
      </c>
    </row>
    <row r="22" customFormat="false" ht="46.25" hidden="false" customHeight="false" outlineLevel="0" collapsed="false">
      <c r="A22" s="2" t="s">
        <v>377</v>
      </c>
      <c r="B22" s="2" t="n">
        <v>2023</v>
      </c>
      <c r="C22" s="3" t="n">
        <v>44929</v>
      </c>
      <c r="D22" s="2" t="s">
        <v>355</v>
      </c>
      <c r="E22" s="2" t="s">
        <v>378</v>
      </c>
      <c r="F22" s="2" t="n">
        <v>0</v>
      </c>
      <c r="G22" s="2" t="s">
        <v>314</v>
      </c>
      <c r="H22" s="2" t="s">
        <v>379</v>
      </c>
    </row>
    <row r="23" customFormat="false" ht="57.45" hidden="false" customHeight="false" outlineLevel="0" collapsed="false">
      <c r="A23" s="2" t="s">
        <v>380</v>
      </c>
      <c r="B23" s="2" t="n">
        <v>2015</v>
      </c>
      <c r="C23" s="3" t="n">
        <v>44811</v>
      </c>
      <c r="D23" s="2" t="s">
        <v>12</v>
      </c>
      <c r="E23" s="2" t="s">
        <v>381</v>
      </c>
      <c r="F23" s="2" t="n">
        <v>570</v>
      </c>
      <c r="G23" s="2" t="s">
        <v>382</v>
      </c>
      <c r="H23" s="2" t="s">
        <v>383</v>
      </c>
    </row>
    <row r="24" customFormat="false" ht="46.25" hidden="false" customHeight="false" outlineLevel="0" collapsed="false">
      <c r="A24" s="2" t="s">
        <v>104</v>
      </c>
      <c r="B24" s="2" t="n">
        <v>2022</v>
      </c>
      <c r="C24" s="3" t="n">
        <v>44743</v>
      </c>
      <c r="D24" s="2" t="s">
        <v>12</v>
      </c>
      <c r="E24" s="2" t="s">
        <v>105</v>
      </c>
      <c r="F24" s="2" t="n">
        <v>1148</v>
      </c>
      <c r="G24" s="2" t="s">
        <v>384</v>
      </c>
      <c r="H24" s="2" t="s">
        <v>107</v>
      </c>
    </row>
    <row r="25" customFormat="false" ht="15" hidden="false" customHeight="false" outlineLevel="0" collapsed="false">
      <c r="A25" s="2" t="s">
        <v>187</v>
      </c>
      <c r="B25" s="2" t="n">
        <v>2021</v>
      </c>
      <c r="C25" s="3" t="n">
        <v>44491</v>
      </c>
      <c r="D25" s="2" t="s">
        <v>12</v>
      </c>
      <c r="E25" s="2" t="s">
        <v>188</v>
      </c>
      <c r="F25" s="2" t="n">
        <v>7731</v>
      </c>
      <c r="G25" s="2" t="s">
        <v>384</v>
      </c>
      <c r="H25" s="2" t="s">
        <v>190</v>
      </c>
    </row>
    <row r="26" customFormat="false" ht="23.85" hidden="false" customHeight="false" outlineLevel="0" collapsed="false">
      <c r="A26" s="2" t="s">
        <v>385</v>
      </c>
      <c r="B26" s="2" t="n">
        <v>2020</v>
      </c>
      <c r="C26" s="3" t="n">
        <v>44196</v>
      </c>
      <c r="D26" s="2" t="s">
        <v>12</v>
      </c>
      <c r="E26" s="2" t="s">
        <v>386</v>
      </c>
      <c r="F26" s="2" t="n">
        <v>514</v>
      </c>
      <c r="G26" s="2" t="s">
        <v>382</v>
      </c>
      <c r="H26" s="2" t="s">
        <v>387</v>
      </c>
    </row>
    <row r="27" customFormat="false" ht="23.85" hidden="false" customHeight="false" outlineLevel="0" collapsed="false">
      <c r="A27" s="2" t="s">
        <v>388</v>
      </c>
      <c r="B27" s="2" t="n">
        <v>2020</v>
      </c>
      <c r="C27" s="3" t="n">
        <v>44175</v>
      </c>
      <c r="D27" s="2" t="s">
        <v>80</v>
      </c>
      <c r="E27" s="2" t="s">
        <v>389</v>
      </c>
      <c r="F27" s="2" t="n">
        <v>864</v>
      </c>
      <c r="G27" s="2" t="s">
        <v>382</v>
      </c>
      <c r="H27" s="2" t="s">
        <v>390</v>
      </c>
    </row>
    <row r="28" customFormat="false" ht="23.85" hidden="false" customHeight="false" outlineLevel="0" collapsed="false">
      <c r="A28" s="2" t="s">
        <v>391</v>
      </c>
      <c r="B28" s="2" t="n">
        <v>2020</v>
      </c>
      <c r="C28" s="3" t="n">
        <v>44165</v>
      </c>
      <c r="D28" s="2" t="s">
        <v>12</v>
      </c>
      <c r="E28" s="2" t="s">
        <v>392</v>
      </c>
      <c r="F28" s="2" t="n">
        <v>444</v>
      </c>
      <c r="G28" s="2" t="s">
        <v>382</v>
      </c>
      <c r="H28" s="2" t="s">
        <v>393</v>
      </c>
    </row>
    <row r="29" customFormat="false" ht="23.85" hidden="false" customHeight="false" outlineLevel="0" collapsed="false">
      <c r="A29" s="2" t="s">
        <v>394</v>
      </c>
      <c r="B29" s="2" t="n">
        <v>2020</v>
      </c>
      <c r="C29" s="3" t="n">
        <v>44162</v>
      </c>
      <c r="D29" s="2" t="s">
        <v>12</v>
      </c>
      <c r="E29" s="2" t="s">
        <v>395</v>
      </c>
      <c r="F29" s="2" t="n">
        <v>1353</v>
      </c>
      <c r="G29" s="2" t="s">
        <v>382</v>
      </c>
      <c r="H29" s="2" t="s">
        <v>396</v>
      </c>
    </row>
    <row r="30" customFormat="false" ht="46.25" hidden="false" customHeight="false" outlineLevel="0" collapsed="false">
      <c r="A30" s="2" t="s">
        <v>397</v>
      </c>
      <c r="B30" s="2" t="n">
        <v>2020</v>
      </c>
      <c r="C30" s="3" t="n">
        <v>44152</v>
      </c>
      <c r="D30" s="2" t="s">
        <v>12</v>
      </c>
      <c r="E30" s="2" t="s">
        <v>398</v>
      </c>
      <c r="F30" s="2" t="n">
        <v>861</v>
      </c>
      <c r="G30" s="2" t="s">
        <v>382</v>
      </c>
      <c r="H30" s="2" t="s">
        <v>399</v>
      </c>
    </row>
    <row r="31" customFormat="false" ht="23.85" hidden="false" customHeight="false" outlineLevel="0" collapsed="false">
      <c r="A31" s="2" t="s">
        <v>400</v>
      </c>
      <c r="B31" s="2" t="n">
        <v>2020</v>
      </c>
      <c r="C31" s="3" t="n">
        <v>44139</v>
      </c>
      <c r="D31" s="2" t="s">
        <v>12</v>
      </c>
      <c r="E31" s="2" t="s">
        <v>401</v>
      </c>
      <c r="F31" s="2" t="n">
        <v>1045</v>
      </c>
      <c r="G31" s="2" t="s">
        <v>382</v>
      </c>
      <c r="H31" s="2" t="s">
        <v>402</v>
      </c>
    </row>
    <row r="32" customFormat="false" ht="23.85" hidden="false" customHeight="false" outlineLevel="0" collapsed="false">
      <c r="A32" s="2" t="s">
        <v>403</v>
      </c>
      <c r="B32" s="2" t="n">
        <v>2020</v>
      </c>
      <c r="C32" s="3" t="n">
        <v>44138</v>
      </c>
      <c r="D32" s="2" t="s">
        <v>12</v>
      </c>
      <c r="E32" s="2" t="s">
        <v>404</v>
      </c>
      <c r="F32" s="2" t="n">
        <v>187</v>
      </c>
      <c r="G32" s="2" t="s">
        <v>382</v>
      </c>
      <c r="H32" s="2" t="s">
        <v>405</v>
      </c>
    </row>
    <row r="33" customFormat="false" ht="23.85" hidden="false" customHeight="false" outlineLevel="0" collapsed="false">
      <c r="A33" s="2" t="s">
        <v>406</v>
      </c>
      <c r="B33" s="2" t="n">
        <v>2020</v>
      </c>
      <c r="C33" s="3" t="n">
        <v>44127</v>
      </c>
      <c r="D33" s="2" t="s">
        <v>12</v>
      </c>
      <c r="E33" s="2" t="s">
        <v>407</v>
      </c>
      <c r="F33" s="2" t="n">
        <v>819</v>
      </c>
      <c r="G33" s="2" t="s">
        <v>382</v>
      </c>
      <c r="H33" s="2" t="s">
        <v>408</v>
      </c>
    </row>
    <row r="34" customFormat="false" ht="23.85" hidden="false" customHeight="false" outlineLevel="0" collapsed="false">
      <c r="A34" s="2" t="s">
        <v>409</v>
      </c>
      <c r="B34" s="2" t="n">
        <v>2020</v>
      </c>
      <c r="C34" s="3" t="n">
        <v>44103</v>
      </c>
      <c r="D34" s="2" t="s">
        <v>12</v>
      </c>
      <c r="E34" s="2" t="s">
        <v>404</v>
      </c>
      <c r="F34" s="2" t="n">
        <v>1192</v>
      </c>
      <c r="G34" s="2" t="s">
        <v>382</v>
      </c>
      <c r="H34" s="2" t="s">
        <v>410</v>
      </c>
    </row>
    <row r="35" customFormat="false" ht="35.05" hidden="false" customHeight="false" outlineLevel="0" collapsed="false">
      <c r="A35" s="2" t="s">
        <v>411</v>
      </c>
      <c r="B35" s="2" t="n">
        <v>2020</v>
      </c>
      <c r="C35" s="3" t="n">
        <v>44076</v>
      </c>
      <c r="D35" s="2" t="s">
        <v>12</v>
      </c>
      <c r="E35" s="2" t="s">
        <v>412</v>
      </c>
      <c r="F35" s="2" t="n">
        <v>351</v>
      </c>
      <c r="G35" s="2" t="s">
        <v>382</v>
      </c>
      <c r="H35" s="2" t="s">
        <v>413</v>
      </c>
    </row>
    <row r="36" customFormat="false" ht="35.05" hidden="false" customHeight="false" outlineLevel="0" collapsed="false">
      <c r="A36" s="2" t="s">
        <v>414</v>
      </c>
      <c r="B36" s="2" t="n">
        <v>2020</v>
      </c>
      <c r="C36" s="3" t="n">
        <v>44076</v>
      </c>
      <c r="D36" s="2" t="s">
        <v>12</v>
      </c>
      <c r="E36" s="2" t="s">
        <v>415</v>
      </c>
      <c r="F36" s="2" t="n">
        <v>474</v>
      </c>
      <c r="G36" s="2" t="s">
        <v>382</v>
      </c>
      <c r="H36" s="2" t="s">
        <v>416</v>
      </c>
    </row>
    <row r="37" customFormat="false" ht="35.05" hidden="false" customHeight="false" outlineLevel="0" collapsed="false">
      <c r="A37" s="2" t="s">
        <v>417</v>
      </c>
      <c r="B37" s="2" t="n">
        <v>2020</v>
      </c>
      <c r="C37" s="3" t="n">
        <v>44069</v>
      </c>
      <c r="D37" s="2" t="s">
        <v>12</v>
      </c>
      <c r="E37" s="2" t="s">
        <v>418</v>
      </c>
      <c r="F37" s="2" t="n">
        <v>429</v>
      </c>
      <c r="G37" s="2" t="s">
        <v>382</v>
      </c>
      <c r="H37" s="2" t="s">
        <v>419</v>
      </c>
    </row>
    <row r="38" customFormat="false" ht="46.25" hidden="false" customHeight="false" outlineLevel="0" collapsed="false">
      <c r="A38" s="2" t="s">
        <v>420</v>
      </c>
      <c r="B38" s="2" t="n">
        <v>2020</v>
      </c>
      <c r="C38" s="3" t="n">
        <v>44040</v>
      </c>
      <c r="D38" s="2" t="s">
        <v>12</v>
      </c>
      <c r="E38" s="2" t="s">
        <v>421</v>
      </c>
      <c r="F38" s="2" t="n">
        <v>670</v>
      </c>
      <c r="G38" s="2" t="s">
        <v>382</v>
      </c>
      <c r="H38" s="2" t="s">
        <v>422</v>
      </c>
    </row>
    <row r="39" customFormat="false" ht="23.85" hidden="false" customHeight="false" outlineLevel="0" collapsed="false">
      <c r="A39" s="2" t="s">
        <v>423</v>
      </c>
      <c r="B39" s="2" t="n">
        <v>2020</v>
      </c>
      <c r="C39" s="3" t="n">
        <v>44034</v>
      </c>
      <c r="D39" s="2" t="s">
        <v>12</v>
      </c>
      <c r="E39" s="2" t="s">
        <v>424</v>
      </c>
      <c r="F39" s="2" t="n">
        <v>652</v>
      </c>
      <c r="G39" s="2" t="s">
        <v>382</v>
      </c>
      <c r="H39" s="2" t="s">
        <v>425</v>
      </c>
    </row>
    <row r="40" customFormat="false" ht="35.05" hidden="false" customHeight="false" outlineLevel="0" collapsed="false">
      <c r="A40" s="2" t="s">
        <v>426</v>
      </c>
      <c r="B40" s="2" t="n">
        <v>2020</v>
      </c>
      <c r="C40" s="3" t="n">
        <v>44032</v>
      </c>
      <c r="D40" s="2" t="s">
        <v>12</v>
      </c>
      <c r="E40" s="2" t="s">
        <v>427</v>
      </c>
      <c r="F40" s="2" t="n">
        <v>229</v>
      </c>
      <c r="G40" s="2" t="s">
        <v>382</v>
      </c>
      <c r="H40" s="2" t="s">
        <v>428</v>
      </c>
    </row>
    <row r="41" customFormat="false" ht="57.45" hidden="false" customHeight="false" outlineLevel="0" collapsed="false">
      <c r="A41" s="2" t="s">
        <v>429</v>
      </c>
      <c r="B41" s="2" t="n">
        <v>2020</v>
      </c>
      <c r="C41" s="3" t="n">
        <v>44029</v>
      </c>
      <c r="D41" s="2" t="s">
        <v>19</v>
      </c>
      <c r="E41" s="2" t="s">
        <v>430</v>
      </c>
      <c r="F41" s="2" t="n">
        <v>564</v>
      </c>
      <c r="G41" s="2" t="s">
        <v>382</v>
      </c>
      <c r="H41" s="2" t="s">
        <v>431</v>
      </c>
    </row>
    <row r="42" customFormat="false" ht="57.45" hidden="false" customHeight="false" outlineLevel="0" collapsed="false">
      <c r="A42" s="2" t="s">
        <v>432</v>
      </c>
      <c r="B42" s="2" t="n">
        <v>2020</v>
      </c>
      <c r="C42" s="3" t="n">
        <v>44029</v>
      </c>
      <c r="D42" s="2" t="s">
        <v>80</v>
      </c>
      <c r="E42" s="2" t="s">
        <v>433</v>
      </c>
      <c r="F42" s="2" t="n">
        <v>314</v>
      </c>
      <c r="G42" s="2" t="s">
        <v>382</v>
      </c>
      <c r="H42" s="2" t="s">
        <v>434</v>
      </c>
    </row>
    <row r="43" customFormat="false" ht="46.25" hidden="false" customHeight="false" outlineLevel="0" collapsed="false">
      <c r="A43" s="2" t="s">
        <v>435</v>
      </c>
      <c r="B43" s="2" t="n">
        <v>2020</v>
      </c>
      <c r="C43" s="3" t="n">
        <v>44029</v>
      </c>
      <c r="D43" s="2" t="s">
        <v>80</v>
      </c>
      <c r="E43" s="2" t="s">
        <v>436</v>
      </c>
      <c r="F43" s="2" t="n">
        <v>425</v>
      </c>
      <c r="G43" s="2" t="s">
        <v>382</v>
      </c>
      <c r="H43" s="2" t="s">
        <v>437</v>
      </c>
    </row>
    <row r="44" customFormat="false" ht="57.45" hidden="false" customHeight="false" outlineLevel="0" collapsed="false">
      <c r="A44" s="2" t="s">
        <v>438</v>
      </c>
      <c r="B44" s="2" t="n">
        <v>2020</v>
      </c>
      <c r="C44" s="3" t="n">
        <v>44026</v>
      </c>
      <c r="D44" s="2" t="s">
        <v>12</v>
      </c>
      <c r="E44" s="2" t="s">
        <v>439</v>
      </c>
      <c r="F44" s="2" t="n">
        <v>546</v>
      </c>
      <c r="G44" s="2" t="s">
        <v>382</v>
      </c>
      <c r="H44" s="2" t="s">
        <v>440</v>
      </c>
    </row>
    <row r="45" customFormat="false" ht="46.25" hidden="false" customHeight="false" outlineLevel="0" collapsed="false">
      <c r="A45" s="2" t="s">
        <v>441</v>
      </c>
      <c r="B45" s="2" t="n">
        <v>2020</v>
      </c>
      <c r="C45" s="3" t="n">
        <v>44025</v>
      </c>
      <c r="D45" s="2" t="s">
        <v>12</v>
      </c>
      <c r="E45" s="2" t="s">
        <v>442</v>
      </c>
      <c r="F45" s="2" t="n">
        <v>380</v>
      </c>
      <c r="G45" s="2" t="s">
        <v>382</v>
      </c>
      <c r="H45" s="2" t="s">
        <v>443</v>
      </c>
    </row>
    <row r="46" customFormat="false" ht="35.05" hidden="false" customHeight="false" outlineLevel="0" collapsed="false">
      <c r="A46" s="2" t="s">
        <v>444</v>
      </c>
      <c r="B46" s="2" t="n">
        <v>2020</v>
      </c>
      <c r="C46" s="3" t="n">
        <v>44022</v>
      </c>
      <c r="D46" s="2" t="s">
        <v>12</v>
      </c>
      <c r="E46" s="2" t="s">
        <v>445</v>
      </c>
      <c r="F46" s="2" t="n">
        <v>331</v>
      </c>
      <c r="G46" s="2" t="s">
        <v>382</v>
      </c>
      <c r="H46" s="2" t="s">
        <v>446</v>
      </c>
    </row>
    <row r="47" customFormat="false" ht="46.25" hidden="false" customHeight="false" outlineLevel="0" collapsed="false">
      <c r="A47" s="2" t="s">
        <v>447</v>
      </c>
      <c r="B47" s="2" t="n">
        <v>2020</v>
      </c>
      <c r="C47" s="3" t="n">
        <v>44022</v>
      </c>
      <c r="D47" s="2" t="s">
        <v>80</v>
      </c>
      <c r="E47" s="2" t="s">
        <v>448</v>
      </c>
      <c r="F47" s="2" t="n">
        <v>580</v>
      </c>
      <c r="G47" s="2" t="s">
        <v>382</v>
      </c>
      <c r="H47" s="2" t="s">
        <v>449</v>
      </c>
    </row>
    <row r="48" customFormat="false" ht="35.05" hidden="false" customHeight="false" outlineLevel="0" collapsed="false">
      <c r="A48" s="2" t="s">
        <v>450</v>
      </c>
      <c r="B48" s="2" t="n">
        <v>2020</v>
      </c>
      <c r="C48" s="3" t="n">
        <v>44015</v>
      </c>
      <c r="D48" s="2" t="s">
        <v>31</v>
      </c>
      <c r="E48" s="2" t="s">
        <v>451</v>
      </c>
      <c r="F48" s="2" t="n">
        <v>266</v>
      </c>
      <c r="G48" s="2" t="s">
        <v>382</v>
      </c>
      <c r="H48" s="2" t="s">
        <v>452</v>
      </c>
    </row>
    <row r="49" customFormat="false" ht="35.05" hidden="false" customHeight="false" outlineLevel="0" collapsed="false">
      <c r="A49" s="2" t="s">
        <v>453</v>
      </c>
      <c r="B49" s="2" t="n">
        <v>2020</v>
      </c>
      <c r="C49" s="3" t="n">
        <v>44013</v>
      </c>
      <c r="D49" s="2" t="s">
        <v>12</v>
      </c>
      <c r="E49" s="2" t="s">
        <v>454</v>
      </c>
      <c r="F49" s="2" t="n">
        <v>434</v>
      </c>
      <c r="G49" s="2" t="s">
        <v>382</v>
      </c>
      <c r="H49" s="2" t="s">
        <v>455</v>
      </c>
    </row>
    <row r="50" customFormat="false" ht="35.05" hidden="false" customHeight="false" outlineLevel="0" collapsed="false">
      <c r="A50" s="2" t="s">
        <v>456</v>
      </c>
      <c r="B50" s="2" t="n">
        <v>2020</v>
      </c>
      <c r="C50" s="3" t="n">
        <v>43983</v>
      </c>
      <c r="D50" s="2" t="s">
        <v>12</v>
      </c>
      <c r="E50" s="2" t="s">
        <v>457</v>
      </c>
      <c r="F50" s="2" t="n">
        <v>985</v>
      </c>
      <c r="G50" s="2" t="s">
        <v>382</v>
      </c>
      <c r="H50" s="2" t="s">
        <v>458</v>
      </c>
    </row>
    <row r="51" customFormat="false" ht="46.25" hidden="false" customHeight="false" outlineLevel="0" collapsed="false">
      <c r="A51" s="2" t="s">
        <v>459</v>
      </c>
      <c r="B51" s="2" t="n">
        <v>2020</v>
      </c>
      <c r="C51" s="3" t="n">
        <v>43965</v>
      </c>
      <c r="D51" s="2" t="s">
        <v>12</v>
      </c>
      <c r="E51" s="2" t="s">
        <v>460</v>
      </c>
      <c r="F51" s="2" t="n">
        <v>240</v>
      </c>
      <c r="G51" s="2" t="s">
        <v>382</v>
      </c>
      <c r="H51" s="2" t="s">
        <v>461</v>
      </c>
    </row>
    <row r="52" customFormat="false" ht="23.85" hidden="false" customHeight="false" outlineLevel="0" collapsed="false">
      <c r="A52" s="2" t="s">
        <v>462</v>
      </c>
      <c r="B52" s="2" t="n">
        <v>2020</v>
      </c>
      <c r="C52" s="3" t="n">
        <v>43965</v>
      </c>
      <c r="D52" s="2" t="s">
        <v>12</v>
      </c>
      <c r="E52" s="2" t="s">
        <v>463</v>
      </c>
      <c r="F52" s="2" t="n">
        <v>920</v>
      </c>
      <c r="G52" s="2" t="s">
        <v>382</v>
      </c>
      <c r="H52" s="2" t="s">
        <v>464</v>
      </c>
    </row>
    <row r="53" customFormat="false" ht="23.85" hidden="false" customHeight="false" outlineLevel="0" collapsed="false">
      <c r="A53" s="2" t="s">
        <v>465</v>
      </c>
      <c r="B53" s="2" t="n">
        <v>2020</v>
      </c>
      <c r="C53" s="3" t="n">
        <v>43964</v>
      </c>
      <c r="D53" s="2" t="s">
        <v>31</v>
      </c>
      <c r="E53" s="2" t="s">
        <v>466</v>
      </c>
      <c r="F53" s="2" t="n">
        <v>251</v>
      </c>
      <c r="G53" s="2" t="s">
        <v>382</v>
      </c>
      <c r="H53" s="2" t="s">
        <v>467</v>
      </c>
    </row>
    <row r="54" customFormat="false" ht="35.05" hidden="false" customHeight="false" outlineLevel="0" collapsed="false">
      <c r="A54" s="2" t="s">
        <v>468</v>
      </c>
      <c r="B54" s="2" t="n">
        <v>2020</v>
      </c>
      <c r="C54" s="3" t="n">
        <v>43958</v>
      </c>
      <c r="D54" s="2" t="s">
        <v>12</v>
      </c>
      <c r="E54" s="2" t="s">
        <v>469</v>
      </c>
      <c r="F54" s="2" t="n">
        <v>276</v>
      </c>
      <c r="G54" s="2" t="s">
        <v>382</v>
      </c>
      <c r="H54" s="2" t="s">
        <v>470</v>
      </c>
    </row>
    <row r="55" customFormat="false" ht="35.05" hidden="false" customHeight="false" outlineLevel="0" collapsed="false">
      <c r="A55" s="2" t="s">
        <v>471</v>
      </c>
      <c r="B55" s="2" t="n">
        <v>2020</v>
      </c>
      <c r="C55" s="3" t="n">
        <v>43924</v>
      </c>
      <c r="D55" s="2" t="s">
        <v>12</v>
      </c>
      <c r="E55" s="2" t="s">
        <v>472</v>
      </c>
      <c r="F55" s="2" t="n">
        <v>342</v>
      </c>
      <c r="G55" s="2" t="s">
        <v>382</v>
      </c>
      <c r="H55" s="2" t="s">
        <v>473</v>
      </c>
    </row>
    <row r="56" customFormat="false" ht="46.25" hidden="false" customHeight="false" outlineLevel="0" collapsed="false">
      <c r="A56" s="2" t="s">
        <v>474</v>
      </c>
      <c r="B56" s="2" t="n">
        <v>2020</v>
      </c>
      <c r="C56" s="3" t="n">
        <v>43920</v>
      </c>
      <c r="D56" s="2" t="s">
        <v>12</v>
      </c>
      <c r="E56" s="2" t="s">
        <v>475</v>
      </c>
      <c r="F56" s="2" t="n">
        <v>294</v>
      </c>
      <c r="G56" s="2" t="s">
        <v>382</v>
      </c>
      <c r="H56" s="2" t="s">
        <v>476</v>
      </c>
    </row>
    <row r="57" customFormat="false" ht="35.05" hidden="false" customHeight="false" outlineLevel="0" collapsed="false">
      <c r="A57" s="2" t="s">
        <v>477</v>
      </c>
      <c r="B57" s="2" t="n">
        <v>2020</v>
      </c>
      <c r="C57" s="3" t="n">
        <v>43917</v>
      </c>
      <c r="D57" s="2" t="s">
        <v>12</v>
      </c>
      <c r="E57" s="2" t="s">
        <v>478</v>
      </c>
      <c r="F57" s="2" t="n">
        <v>590</v>
      </c>
      <c r="G57" s="2" t="s">
        <v>382</v>
      </c>
      <c r="H57" s="2" t="s">
        <v>479</v>
      </c>
    </row>
    <row r="58" customFormat="false" ht="46.25" hidden="false" customHeight="false" outlineLevel="0" collapsed="false">
      <c r="A58" s="2" t="s">
        <v>480</v>
      </c>
      <c r="B58" s="2" t="n">
        <v>2020</v>
      </c>
      <c r="C58" s="3" t="n">
        <v>43913</v>
      </c>
      <c r="D58" s="2" t="s">
        <v>12</v>
      </c>
      <c r="E58" s="2" t="s">
        <v>481</v>
      </c>
      <c r="F58" s="2" t="n">
        <v>766</v>
      </c>
      <c r="G58" s="2" t="s">
        <v>382</v>
      </c>
      <c r="H58" s="2" t="s">
        <v>482</v>
      </c>
    </row>
    <row r="59" customFormat="false" ht="35.05" hidden="false" customHeight="false" outlineLevel="0" collapsed="false">
      <c r="A59" s="2" t="s">
        <v>483</v>
      </c>
      <c r="B59" s="2" t="n">
        <v>2020</v>
      </c>
      <c r="C59" s="3" t="n">
        <v>43906</v>
      </c>
      <c r="D59" s="2" t="s">
        <v>12</v>
      </c>
      <c r="E59" s="2" t="s">
        <v>484</v>
      </c>
      <c r="F59" s="2" t="n">
        <v>551</v>
      </c>
      <c r="G59" s="2" t="s">
        <v>382</v>
      </c>
      <c r="H59" s="2" t="s">
        <v>485</v>
      </c>
    </row>
    <row r="60" customFormat="false" ht="46.25" hidden="false" customHeight="false" outlineLevel="0" collapsed="false">
      <c r="A60" s="2" t="s">
        <v>486</v>
      </c>
      <c r="B60" s="2" t="n">
        <v>2020</v>
      </c>
      <c r="C60" s="3" t="n">
        <v>43901</v>
      </c>
      <c r="D60" s="2" t="s">
        <v>12</v>
      </c>
      <c r="E60" s="2" t="s">
        <v>487</v>
      </c>
      <c r="F60" s="2" t="n">
        <v>1279</v>
      </c>
      <c r="G60" s="2" t="s">
        <v>382</v>
      </c>
      <c r="H60" s="2" t="s">
        <v>488</v>
      </c>
    </row>
    <row r="61" customFormat="false" ht="35.05" hidden="false" customHeight="false" outlineLevel="0" collapsed="false">
      <c r="A61" s="2" t="s">
        <v>489</v>
      </c>
      <c r="B61" s="2" t="n">
        <v>2020</v>
      </c>
      <c r="C61" s="3" t="n">
        <v>43901</v>
      </c>
      <c r="D61" s="2" t="s">
        <v>12</v>
      </c>
      <c r="E61" s="2" t="s">
        <v>490</v>
      </c>
      <c r="F61" s="2" t="n">
        <v>355</v>
      </c>
      <c r="G61" s="2" t="s">
        <v>382</v>
      </c>
      <c r="H61" s="2" t="s">
        <v>491</v>
      </c>
    </row>
    <row r="62" customFormat="false" ht="35.05" hidden="false" customHeight="false" outlineLevel="0" collapsed="false">
      <c r="A62" s="2" t="s">
        <v>492</v>
      </c>
      <c r="B62" s="2" t="n">
        <v>2020</v>
      </c>
      <c r="C62" s="3" t="n">
        <v>43882</v>
      </c>
      <c r="D62" s="2" t="s">
        <v>12</v>
      </c>
      <c r="E62" s="2" t="s">
        <v>493</v>
      </c>
      <c r="F62" s="2" t="n">
        <v>322</v>
      </c>
      <c r="G62" s="2" t="s">
        <v>382</v>
      </c>
      <c r="H62" s="2" t="s">
        <v>494</v>
      </c>
    </row>
    <row r="63" customFormat="false" ht="23.85" hidden="false" customHeight="false" outlineLevel="0" collapsed="false">
      <c r="A63" s="2" t="s">
        <v>495</v>
      </c>
      <c r="B63" s="2" t="n">
        <v>2020</v>
      </c>
      <c r="C63" s="3" t="n">
        <v>43859</v>
      </c>
      <c r="D63" s="2" t="s">
        <v>12</v>
      </c>
      <c r="E63" s="2" t="s">
        <v>496</v>
      </c>
      <c r="F63" s="2" t="n">
        <v>161</v>
      </c>
      <c r="G63" s="2" t="s">
        <v>382</v>
      </c>
      <c r="H63" s="2" t="s">
        <v>497</v>
      </c>
    </row>
    <row r="64" customFormat="false" ht="35.05" hidden="false" customHeight="false" outlineLevel="0" collapsed="false">
      <c r="A64" s="2" t="s">
        <v>498</v>
      </c>
      <c r="B64" s="2" t="n">
        <v>2020</v>
      </c>
      <c r="C64" s="3" t="n">
        <v>43854</v>
      </c>
      <c r="D64" s="2" t="s">
        <v>12</v>
      </c>
      <c r="E64" s="2" t="s">
        <v>499</v>
      </c>
      <c r="F64" s="2" t="n">
        <v>1067</v>
      </c>
      <c r="G64" s="2" t="s">
        <v>382</v>
      </c>
      <c r="H64" s="2" t="s">
        <v>500</v>
      </c>
    </row>
    <row r="65" customFormat="false" ht="35.05" hidden="false" customHeight="false" outlineLevel="0" collapsed="false">
      <c r="A65" s="2" t="s">
        <v>501</v>
      </c>
      <c r="B65" s="2" t="n">
        <v>2020</v>
      </c>
      <c r="C65" s="3" t="n">
        <v>43837</v>
      </c>
      <c r="D65" s="2" t="s">
        <v>12</v>
      </c>
      <c r="E65" s="2" t="s">
        <v>502</v>
      </c>
      <c r="F65" s="2" t="n">
        <v>458</v>
      </c>
      <c r="G65" s="2" t="s">
        <v>382</v>
      </c>
      <c r="H65" s="2" t="s">
        <v>503</v>
      </c>
    </row>
    <row r="66" customFormat="false" ht="35.05" hidden="false" customHeight="false" outlineLevel="0" collapsed="false">
      <c r="A66" s="2" t="s">
        <v>504</v>
      </c>
      <c r="B66" s="2" t="n">
        <v>2020</v>
      </c>
      <c r="C66" s="3" t="n">
        <v>43837</v>
      </c>
      <c r="D66" s="2" t="s">
        <v>12</v>
      </c>
      <c r="E66" s="2" t="s">
        <v>505</v>
      </c>
      <c r="F66" s="2" t="n">
        <v>476</v>
      </c>
      <c r="G66" s="2" t="s">
        <v>382</v>
      </c>
      <c r="H66" s="2" t="s">
        <v>506</v>
      </c>
    </row>
    <row r="67" customFormat="false" ht="23.85" hidden="false" customHeight="false" outlineLevel="0" collapsed="false">
      <c r="A67" s="2" t="s">
        <v>507</v>
      </c>
      <c r="B67" s="2" t="n">
        <v>2020</v>
      </c>
      <c r="C67" s="3" t="n">
        <v>43836</v>
      </c>
      <c r="D67" s="2" t="s">
        <v>12</v>
      </c>
      <c r="E67" s="2" t="s">
        <v>508</v>
      </c>
      <c r="F67" s="2" t="n">
        <v>113</v>
      </c>
      <c r="G67" s="2" t="s">
        <v>382</v>
      </c>
      <c r="H67" s="2" t="s">
        <v>509</v>
      </c>
    </row>
    <row r="68" customFormat="false" ht="57.45" hidden="false" customHeight="false" outlineLevel="0" collapsed="false">
      <c r="A68" s="2" t="s">
        <v>510</v>
      </c>
      <c r="B68" s="2" t="n">
        <v>2019</v>
      </c>
      <c r="C68" s="3" t="n">
        <v>43788</v>
      </c>
      <c r="D68" s="2" t="s">
        <v>12</v>
      </c>
      <c r="E68" s="2" t="s">
        <v>511</v>
      </c>
      <c r="F68" s="2" t="n">
        <v>2698</v>
      </c>
      <c r="G68" s="2" t="s">
        <v>382</v>
      </c>
      <c r="H68" s="2" t="s">
        <v>512</v>
      </c>
    </row>
    <row r="69" customFormat="false" ht="23.85" hidden="false" customHeight="false" outlineLevel="0" collapsed="false">
      <c r="A69" s="2" t="s">
        <v>513</v>
      </c>
      <c r="B69" s="2" t="n">
        <v>2019</v>
      </c>
      <c r="C69" s="3" t="n">
        <v>43732</v>
      </c>
      <c r="D69" s="2" t="s">
        <v>12</v>
      </c>
      <c r="E69" s="2" t="s">
        <v>514</v>
      </c>
      <c r="F69" s="2" t="n">
        <v>2173</v>
      </c>
      <c r="G69" s="2" t="s">
        <v>382</v>
      </c>
      <c r="H69" s="2" t="s">
        <v>515</v>
      </c>
    </row>
    <row r="70" customFormat="false" ht="23.85" hidden="false" customHeight="false" outlineLevel="0" collapsed="false">
      <c r="A70" s="2" t="s">
        <v>516</v>
      </c>
      <c r="B70" s="2" t="n">
        <v>2018</v>
      </c>
      <c r="C70" s="3" t="n">
        <v>43677</v>
      </c>
      <c r="D70" s="2" t="s">
        <v>12</v>
      </c>
      <c r="E70" s="2" t="s">
        <v>517</v>
      </c>
      <c r="F70" s="2" t="n">
        <v>1398</v>
      </c>
      <c r="G70" s="2" t="s">
        <v>382</v>
      </c>
      <c r="H70" s="2" t="s">
        <v>518</v>
      </c>
    </row>
    <row r="71" customFormat="false" ht="15" hidden="false" customHeight="false" outlineLevel="0" collapsed="false">
      <c r="A71" s="2" t="s">
        <v>519</v>
      </c>
      <c r="B71" s="2" t="n">
        <v>2019</v>
      </c>
      <c r="C71" s="3" t="n">
        <v>43609</v>
      </c>
      <c r="D71" s="2" t="s">
        <v>12</v>
      </c>
      <c r="E71" s="2" t="s">
        <v>520</v>
      </c>
      <c r="F71" s="2" t="n">
        <v>743</v>
      </c>
      <c r="G71" s="2" t="s">
        <v>382</v>
      </c>
      <c r="H71" s="2" t="s">
        <v>521</v>
      </c>
    </row>
    <row r="72" customFormat="false" ht="23.85" hidden="false" customHeight="false" outlineLevel="0" collapsed="false">
      <c r="A72" s="2" t="s">
        <v>522</v>
      </c>
      <c r="B72" s="2" t="n">
        <v>2019</v>
      </c>
      <c r="C72" s="3" t="n">
        <v>43531</v>
      </c>
      <c r="D72" s="2" t="s">
        <v>12</v>
      </c>
      <c r="E72" s="2" t="s">
        <v>523</v>
      </c>
      <c r="F72" s="2" t="n">
        <v>2233</v>
      </c>
      <c r="G72" s="2" t="s">
        <v>382</v>
      </c>
      <c r="H72" s="2" t="s">
        <v>524</v>
      </c>
    </row>
    <row r="73" customFormat="false" ht="35.05" hidden="false" customHeight="false" outlineLevel="0" collapsed="false">
      <c r="A73" s="2" t="s">
        <v>525</v>
      </c>
      <c r="B73" s="2" t="n">
        <v>2018</v>
      </c>
      <c r="C73" s="3" t="n">
        <v>43343</v>
      </c>
      <c r="D73" s="2" t="s">
        <v>12</v>
      </c>
      <c r="E73" s="2" t="s">
        <v>526</v>
      </c>
      <c r="F73" s="2" t="n">
        <v>7616</v>
      </c>
      <c r="G73" s="2" t="s">
        <v>382</v>
      </c>
      <c r="H73" s="2" t="s">
        <v>527</v>
      </c>
    </row>
    <row r="74" customFormat="false" ht="35.05" hidden="false" customHeight="false" outlineLevel="0" collapsed="false">
      <c r="A74" s="2" t="s">
        <v>528</v>
      </c>
      <c r="B74" s="2" t="n">
        <v>2018</v>
      </c>
      <c r="C74" s="3" t="n">
        <v>43278</v>
      </c>
      <c r="D74" s="2" t="s">
        <v>31</v>
      </c>
      <c r="E74" s="2" t="s">
        <v>529</v>
      </c>
      <c r="F74" s="2" t="n">
        <v>1127</v>
      </c>
      <c r="G74" s="2" t="s">
        <v>382</v>
      </c>
      <c r="H74" s="2" t="s">
        <v>530</v>
      </c>
    </row>
    <row r="75" customFormat="false" ht="35.05" hidden="false" customHeight="false" outlineLevel="0" collapsed="false">
      <c r="A75" s="2" t="s">
        <v>531</v>
      </c>
      <c r="B75" s="2" t="n">
        <v>2018</v>
      </c>
      <c r="C75" s="3" t="n">
        <v>43278</v>
      </c>
      <c r="D75" s="2" t="s">
        <v>31</v>
      </c>
      <c r="E75" s="2" t="s">
        <v>532</v>
      </c>
      <c r="F75" s="2" t="n">
        <v>1098</v>
      </c>
      <c r="G75" s="2" t="s">
        <v>382</v>
      </c>
      <c r="H75" s="2" t="s">
        <v>533</v>
      </c>
    </row>
    <row r="76" customFormat="false" ht="46.25" hidden="false" customHeight="false" outlineLevel="0" collapsed="false">
      <c r="A76" s="2" t="s">
        <v>534</v>
      </c>
      <c r="B76" s="2" t="n">
        <v>2018</v>
      </c>
      <c r="C76" s="3" t="n">
        <v>43273</v>
      </c>
      <c r="D76" s="2" t="s">
        <v>31</v>
      </c>
      <c r="E76" s="2" t="s">
        <v>535</v>
      </c>
      <c r="F76" s="2" t="n">
        <v>251</v>
      </c>
      <c r="G76" s="2" t="s">
        <v>382</v>
      </c>
      <c r="H76" s="2" t="s">
        <v>536</v>
      </c>
    </row>
    <row r="77" customFormat="false" ht="46.25" hidden="false" customHeight="false" outlineLevel="0" collapsed="false">
      <c r="A77" s="2" t="s">
        <v>537</v>
      </c>
      <c r="B77" s="2" t="n">
        <v>2018</v>
      </c>
      <c r="C77" s="3" t="n">
        <v>43230</v>
      </c>
      <c r="D77" s="2" t="s">
        <v>31</v>
      </c>
      <c r="E77" s="2" t="s">
        <v>538</v>
      </c>
      <c r="F77" s="2" t="n">
        <v>251</v>
      </c>
      <c r="G77" s="2" t="s">
        <v>382</v>
      </c>
      <c r="H77" s="2" t="s">
        <v>539</v>
      </c>
    </row>
    <row r="78" customFormat="false" ht="35.05" hidden="false" customHeight="false" outlineLevel="0" collapsed="false">
      <c r="A78" s="2" t="s">
        <v>540</v>
      </c>
      <c r="B78" s="2" t="n">
        <v>2018</v>
      </c>
      <c r="C78" s="3" t="n">
        <v>43187</v>
      </c>
      <c r="D78" s="2" t="s">
        <v>31</v>
      </c>
      <c r="E78" s="2" t="s">
        <v>541</v>
      </c>
      <c r="F78" s="2" t="n">
        <v>821</v>
      </c>
      <c r="G78" s="2" t="s">
        <v>382</v>
      </c>
      <c r="H78" s="2" t="s">
        <v>542</v>
      </c>
    </row>
    <row r="79" customFormat="false" ht="23.85" hidden="false" customHeight="false" outlineLevel="0" collapsed="false">
      <c r="A79" s="2" t="s">
        <v>543</v>
      </c>
      <c r="B79" s="2" t="n">
        <v>2018</v>
      </c>
      <c r="C79" s="3" t="n">
        <v>43158</v>
      </c>
      <c r="D79" s="2" t="s">
        <v>12</v>
      </c>
      <c r="E79" s="2" t="s">
        <v>544</v>
      </c>
      <c r="F79" s="2" t="n">
        <v>6675</v>
      </c>
      <c r="G79" s="2" t="s">
        <v>382</v>
      </c>
      <c r="H79" s="2" t="s">
        <v>545</v>
      </c>
    </row>
    <row r="80" customFormat="false" ht="46.25" hidden="false" customHeight="false" outlineLevel="0" collapsed="false">
      <c r="A80" s="2" t="s">
        <v>546</v>
      </c>
      <c r="B80" s="2" t="n">
        <v>2018</v>
      </c>
      <c r="C80" s="3" t="n">
        <v>43146</v>
      </c>
      <c r="D80" s="2" t="s">
        <v>31</v>
      </c>
      <c r="E80" s="2" t="s">
        <v>547</v>
      </c>
      <c r="F80" s="2" t="n">
        <v>4007</v>
      </c>
      <c r="G80" s="2" t="s">
        <v>382</v>
      </c>
      <c r="H80" s="2" t="s">
        <v>548</v>
      </c>
    </row>
    <row r="81" customFormat="false" ht="35.05" hidden="false" customHeight="false" outlineLevel="0" collapsed="false">
      <c r="A81" s="2" t="s">
        <v>549</v>
      </c>
      <c r="B81" s="2" t="n">
        <v>2018</v>
      </c>
      <c r="C81" s="3" t="n">
        <v>43133</v>
      </c>
      <c r="D81" s="2" t="s">
        <v>31</v>
      </c>
      <c r="E81" s="2" t="s">
        <v>550</v>
      </c>
      <c r="F81" s="2" t="n">
        <v>2676</v>
      </c>
      <c r="G81" s="2" t="s">
        <v>382</v>
      </c>
      <c r="H81" s="2" t="s">
        <v>551</v>
      </c>
    </row>
    <row r="82" customFormat="false" ht="35.05" hidden="false" customHeight="false" outlineLevel="0" collapsed="false">
      <c r="A82" s="2" t="s">
        <v>552</v>
      </c>
      <c r="B82" s="2" t="n">
        <v>2017</v>
      </c>
      <c r="C82" s="3" t="n">
        <v>43061</v>
      </c>
      <c r="D82" s="2" t="s">
        <v>31</v>
      </c>
      <c r="E82" s="2" t="s">
        <v>553</v>
      </c>
      <c r="F82" s="2" t="n">
        <v>10680</v>
      </c>
      <c r="G82" s="2" t="s">
        <v>382</v>
      </c>
      <c r="H82" s="2" t="s">
        <v>554</v>
      </c>
    </row>
    <row r="83" customFormat="false" ht="23.85" hidden="false" customHeight="false" outlineLevel="0" collapsed="false">
      <c r="A83" s="2" t="s">
        <v>555</v>
      </c>
      <c r="B83" s="2" t="n">
        <v>2017</v>
      </c>
      <c r="C83" s="3" t="n">
        <v>43055</v>
      </c>
      <c r="D83" s="2" t="s">
        <v>12</v>
      </c>
      <c r="E83" s="2" t="s">
        <v>556</v>
      </c>
      <c r="F83" s="2" t="n">
        <v>8939</v>
      </c>
      <c r="G83" s="2" t="s">
        <v>382</v>
      </c>
      <c r="H83" s="2" t="s">
        <v>557</v>
      </c>
    </row>
    <row r="84" customFormat="false" ht="35.05" hidden="false" customHeight="false" outlineLevel="0" collapsed="false">
      <c r="A84" s="2" t="s">
        <v>558</v>
      </c>
      <c r="B84" s="2" t="n">
        <v>2017</v>
      </c>
      <c r="C84" s="3" t="n">
        <v>43029</v>
      </c>
      <c r="D84" s="2" t="s">
        <v>12</v>
      </c>
      <c r="E84" s="2" t="s">
        <v>559</v>
      </c>
      <c r="F84" s="2" t="n">
        <v>8439</v>
      </c>
      <c r="G84" s="2" t="s">
        <v>382</v>
      </c>
      <c r="H84" s="2" t="s">
        <v>560</v>
      </c>
    </row>
    <row r="85" customFormat="false" ht="23.85" hidden="false" customHeight="false" outlineLevel="0" collapsed="false">
      <c r="A85" s="2" t="s">
        <v>561</v>
      </c>
      <c r="B85" s="2" t="n">
        <v>2017</v>
      </c>
      <c r="C85" s="3" t="n">
        <v>42971</v>
      </c>
      <c r="D85" s="2" t="s">
        <v>31</v>
      </c>
      <c r="E85" s="2" t="s">
        <v>562</v>
      </c>
      <c r="F85" s="2" t="n">
        <v>3335</v>
      </c>
      <c r="G85" s="2" t="s">
        <v>382</v>
      </c>
      <c r="H85" s="2" t="s">
        <v>563</v>
      </c>
    </row>
    <row r="86" customFormat="false" ht="23.85" hidden="false" customHeight="false" outlineLevel="0" collapsed="false">
      <c r="A86" s="2" t="s">
        <v>564</v>
      </c>
      <c r="B86" s="2" t="n">
        <v>2017</v>
      </c>
      <c r="C86" s="3" t="n">
        <v>42915</v>
      </c>
      <c r="D86" s="2" t="s">
        <v>12</v>
      </c>
      <c r="E86" s="2" t="s">
        <v>565</v>
      </c>
      <c r="F86" s="2" t="n">
        <v>385</v>
      </c>
      <c r="G86" s="2" t="s">
        <v>382</v>
      </c>
      <c r="H86" s="2" t="s">
        <v>566</v>
      </c>
    </row>
    <row r="87" customFormat="false" ht="35.05" hidden="false" customHeight="false" outlineLevel="0" collapsed="false">
      <c r="A87" s="2" t="s">
        <v>567</v>
      </c>
      <c r="B87" s="2" t="n">
        <v>2017</v>
      </c>
      <c r="C87" s="3" t="n">
        <v>42899</v>
      </c>
      <c r="D87" s="2" t="s">
        <v>12</v>
      </c>
      <c r="E87" s="2" t="s">
        <v>568</v>
      </c>
      <c r="F87" s="2" t="n">
        <v>11095</v>
      </c>
      <c r="G87" s="2" t="s">
        <v>382</v>
      </c>
      <c r="H87" s="2" t="s">
        <v>569</v>
      </c>
    </row>
    <row r="88" customFormat="false" ht="46.25" hidden="false" customHeight="false" outlineLevel="0" collapsed="false">
      <c r="A88" s="2" t="s">
        <v>570</v>
      </c>
      <c r="B88" s="2" t="n">
        <v>2017</v>
      </c>
      <c r="C88" s="3" t="n">
        <v>42776</v>
      </c>
      <c r="D88" s="2" t="s">
        <v>31</v>
      </c>
      <c r="E88" s="2" t="s">
        <v>571</v>
      </c>
      <c r="F88" s="2" t="n">
        <v>1493</v>
      </c>
      <c r="G88" s="2" t="s">
        <v>382</v>
      </c>
      <c r="H88" s="2" t="s">
        <v>572</v>
      </c>
    </row>
    <row r="89" customFormat="false" ht="15" hidden="false" customHeight="false" outlineLevel="0" collapsed="false">
      <c r="A89" s="2" t="s">
        <v>573</v>
      </c>
      <c r="B89" s="2" t="n">
        <v>2017</v>
      </c>
      <c r="C89" s="3" t="n">
        <v>42775</v>
      </c>
      <c r="D89" s="2" t="s">
        <v>12</v>
      </c>
      <c r="E89" s="2" t="s">
        <v>574</v>
      </c>
      <c r="F89" s="2" t="n">
        <v>559</v>
      </c>
      <c r="G89" s="2" t="s">
        <v>382</v>
      </c>
      <c r="H89" s="2" t="s">
        <v>575</v>
      </c>
    </row>
    <row r="90" customFormat="false" ht="15" hidden="false" customHeight="false" outlineLevel="0" collapsed="false">
      <c r="A90" s="2" t="s">
        <v>576</v>
      </c>
      <c r="B90" s="2" t="n">
        <v>2017</v>
      </c>
      <c r="C90" s="3" t="n">
        <v>42773</v>
      </c>
      <c r="D90" s="2" t="s">
        <v>12</v>
      </c>
      <c r="E90" s="2" t="s">
        <v>577</v>
      </c>
      <c r="F90" s="2" t="n">
        <v>59</v>
      </c>
      <c r="G90" s="2" t="s">
        <v>382</v>
      </c>
      <c r="H90" s="2" t="s">
        <v>578</v>
      </c>
    </row>
    <row r="91" customFormat="false" ht="15" hidden="false" customHeight="false" outlineLevel="0" collapsed="false">
      <c r="A91" s="2" t="s">
        <v>579</v>
      </c>
      <c r="B91" s="2" t="n">
        <v>2017</v>
      </c>
      <c r="C91" s="3" t="n">
        <v>42762</v>
      </c>
      <c r="D91" s="2" t="s">
        <v>12</v>
      </c>
      <c r="E91" s="2" t="s">
        <v>580</v>
      </c>
      <c r="F91" s="2" t="n">
        <v>4620</v>
      </c>
      <c r="G91" s="2" t="s">
        <v>382</v>
      </c>
      <c r="H91" s="2" t="s">
        <v>581</v>
      </c>
    </row>
    <row r="92" customFormat="false" ht="35.05" hidden="false" customHeight="false" outlineLevel="0" collapsed="false">
      <c r="A92" s="2" t="s">
        <v>582</v>
      </c>
      <c r="B92" s="2" t="n">
        <v>2016</v>
      </c>
      <c r="C92" s="3" t="n">
        <v>42697</v>
      </c>
      <c r="D92" s="2" t="s">
        <v>12</v>
      </c>
      <c r="E92" s="2" t="s">
        <v>583</v>
      </c>
      <c r="F92" s="2" t="n">
        <v>2090</v>
      </c>
      <c r="G92" s="2" t="s">
        <v>382</v>
      </c>
      <c r="H92" s="2" t="s">
        <v>584</v>
      </c>
    </row>
    <row r="93" customFormat="false" ht="46.25" hidden="false" customHeight="false" outlineLevel="0" collapsed="false">
      <c r="A93" s="2" t="s">
        <v>585</v>
      </c>
      <c r="B93" s="2" t="n">
        <v>2016</v>
      </c>
      <c r="C93" s="3" t="n">
        <v>42669</v>
      </c>
      <c r="D93" s="2" t="s">
        <v>80</v>
      </c>
      <c r="E93" s="2" t="s">
        <v>586</v>
      </c>
      <c r="F93" s="2" t="n">
        <v>3898</v>
      </c>
      <c r="G93" s="2" t="s">
        <v>382</v>
      </c>
      <c r="H93" s="2" t="s">
        <v>587</v>
      </c>
    </row>
    <row r="94" customFormat="false" ht="23.85" hidden="false" customHeight="false" outlineLevel="0" collapsed="false">
      <c r="A94" s="2" t="s">
        <v>588</v>
      </c>
      <c r="B94" s="2" t="n">
        <v>2016</v>
      </c>
      <c r="C94" s="3" t="n">
        <v>42633</v>
      </c>
      <c r="D94" s="2" t="s">
        <v>31</v>
      </c>
      <c r="E94" s="2" t="s">
        <v>589</v>
      </c>
      <c r="F94" s="2" t="n">
        <v>148</v>
      </c>
      <c r="G94" s="2" t="s">
        <v>382</v>
      </c>
      <c r="H94" s="2" t="s">
        <v>590</v>
      </c>
    </row>
    <row r="95" customFormat="false" ht="35.05" hidden="false" customHeight="false" outlineLevel="0" collapsed="false">
      <c r="A95" s="2" t="s">
        <v>591</v>
      </c>
      <c r="B95" s="2" t="n">
        <v>2016</v>
      </c>
      <c r="C95" s="3" t="n">
        <v>42625</v>
      </c>
      <c r="D95" s="2" t="s">
        <v>31</v>
      </c>
      <c r="E95" s="2" t="s">
        <v>592</v>
      </c>
      <c r="F95" s="2" t="n">
        <v>610</v>
      </c>
      <c r="G95" s="2" t="s">
        <v>382</v>
      </c>
      <c r="H95" s="2" t="s">
        <v>593</v>
      </c>
    </row>
    <row r="96" customFormat="false" ht="35.05" hidden="false" customHeight="false" outlineLevel="0" collapsed="false">
      <c r="A96" s="2" t="s">
        <v>594</v>
      </c>
      <c r="B96" s="2" t="n">
        <v>2016</v>
      </c>
      <c r="C96" s="3" t="n">
        <v>42606</v>
      </c>
      <c r="D96" s="2" t="s">
        <v>12</v>
      </c>
      <c r="E96" s="2" t="s">
        <v>595</v>
      </c>
      <c r="F96" s="2" t="n">
        <v>3062</v>
      </c>
      <c r="G96" s="2" t="s">
        <v>382</v>
      </c>
      <c r="H96" s="2" t="s">
        <v>596</v>
      </c>
    </row>
    <row r="97" customFormat="false" ht="46.25" hidden="false" customHeight="false" outlineLevel="0" collapsed="false">
      <c r="A97" s="2" t="s">
        <v>597</v>
      </c>
      <c r="B97" s="2" t="n">
        <v>2016</v>
      </c>
      <c r="C97" s="3" t="n">
        <v>42606</v>
      </c>
      <c r="D97" s="2" t="s">
        <v>75</v>
      </c>
      <c r="E97" s="2" t="s">
        <v>598</v>
      </c>
      <c r="F97" s="2" t="n">
        <v>1347</v>
      </c>
      <c r="G97" s="2" t="s">
        <v>382</v>
      </c>
      <c r="H97" s="2" t="s">
        <v>599</v>
      </c>
    </row>
    <row r="98" customFormat="false" ht="35.05" hidden="false" customHeight="false" outlineLevel="0" collapsed="false">
      <c r="A98" s="2" t="s">
        <v>600</v>
      </c>
      <c r="B98" s="2" t="n">
        <v>2016</v>
      </c>
      <c r="C98" s="3" t="n">
        <v>42605</v>
      </c>
      <c r="D98" s="2" t="s">
        <v>12</v>
      </c>
      <c r="E98" s="2" t="s">
        <v>601</v>
      </c>
      <c r="F98" s="2" t="n">
        <v>1084</v>
      </c>
      <c r="G98" s="2" t="s">
        <v>382</v>
      </c>
      <c r="H98" s="2" t="s">
        <v>602</v>
      </c>
    </row>
    <row r="99" customFormat="false" ht="46.25" hidden="false" customHeight="false" outlineLevel="0" collapsed="false">
      <c r="A99" s="2" t="s">
        <v>603</v>
      </c>
      <c r="B99" s="2" t="n">
        <v>2016</v>
      </c>
      <c r="C99" s="3" t="n">
        <v>42599</v>
      </c>
      <c r="D99" s="2" t="s">
        <v>12</v>
      </c>
      <c r="E99" s="2" t="s">
        <v>604</v>
      </c>
      <c r="F99" s="2" t="n">
        <v>1223</v>
      </c>
      <c r="G99" s="2" t="s">
        <v>382</v>
      </c>
      <c r="H99" s="2" t="s">
        <v>605</v>
      </c>
    </row>
    <row r="100" customFormat="false" ht="35.05" hidden="false" customHeight="false" outlineLevel="0" collapsed="false">
      <c r="A100" s="2" t="s">
        <v>606</v>
      </c>
      <c r="B100" s="2" t="n">
        <v>2016</v>
      </c>
      <c r="C100" s="3" t="n">
        <v>42594</v>
      </c>
      <c r="D100" s="2" t="s">
        <v>12</v>
      </c>
      <c r="E100" s="2" t="s">
        <v>607</v>
      </c>
      <c r="F100" s="2" t="n">
        <v>1239</v>
      </c>
      <c r="G100" s="2" t="s">
        <v>382</v>
      </c>
      <c r="H100" s="2" t="s">
        <v>608</v>
      </c>
    </row>
    <row r="101" customFormat="false" ht="46.25" hidden="false" customHeight="false" outlineLevel="0" collapsed="false">
      <c r="A101" s="2" t="s">
        <v>609</v>
      </c>
      <c r="B101" s="2" t="n">
        <v>2016</v>
      </c>
      <c r="C101" s="3" t="n">
        <v>42590</v>
      </c>
      <c r="D101" s="2" t="s">
        <v>80</v>
      </c>
      <c r="E101" s="2" t="s">
        <v>610</v>
      </c>
      <c r="F101" s="2" t="n">
        <v>2126</v>
      </c>
      <c r="G101" s="2" t="s">
        <v>382</v>
      </c>
      <c r="H101" s="2" t="s">
        <v>611</v>
      </c>
    </row>
    <row r="102" customFormat="false" ht="35.05" hidden="false" customHeight="false" outlineLevel="0" collapsed="false">
      <c r="A102" s="2" t="s">
        <v>612</v>
      </c>
      <c r="B102" s="2" t="n">
        <v>2016</v>
      </c>
      <c r="C102" s="3" t="n">
        <v>42583</v>
      </c>
      <c r="D102" s="2" t="s">
        <v>80</v>
      </c>
      <c r="E102" s="2" t="s">
        <v>613</v>
      </c>
      <c r="F102" s="2" t="n">
        <v>1474</v>
      </c>
      <c r="G102" s="2" t="s">
        <v>382</v>
      </c>
      <c r="H102" s="2" t="s">
        <v>614</v>
      </c>
    </row>
    <row r="103" customFormat="false" ht="35.05" hidden="false" customHeight="false" outlineLevel="0" collapsed="false">
      <c r="A103" s="2" t="s">
        <v>615</v>
      </c>
      <c r="B103" s="2" t="n">
        <v>2016</v>
      </c>
      <c r="C103" s="3" t="n">
        <v>42579</v>
      </c>
      <c r="D103" s="2" t="s">
        <v>12</v>
      </c>
      <c r="E103" s="2" t="s">
        <v>616</v>
      </c>
      <c r="F103" s="2" t="n">
        <v>843</v>
      </c>
      <c r="G103" s="2" t="s">
        <v>382</v>
      </c>
      <c r="H103" s="2" t="s">
        <v>617</v>
      </c>
    </row>
    <row r="104" customFormat="false" ht="35.05" hidden="false" customHeight="false" outlineLevel="0" collapsed="false">
      <c r="A104" s="2" t="s">
        <v>618</v>
      </c>
      <c r="B104" s="2" t="n">
        <v>2016</v>
      </c>
      <c r="C104" s="3" t="n">
        <v>42577</v>
      </c>
      <c r="D104" s="2" t="s">
        <v>619</v>
      </c>
      <c r="E104" s="2" t="s">
        <v>620</v>
      </c>
      <c r="F104" s="2" t="n">
        <v>856</v>
      </c>
      <c r="G104" s="2" t="s">
        <v>382</v>
      </c>
      <c r="H104" s="2" t="s">
        <v>621</v>
      </c>
    </row>
    <row r="105" customFormat="false" ht="46.25" hidden="false" customHeight="false" outlineLevel="0" collapsed="false">
      <c r="A105" s="2" t="s">
        <v>622</v>
      </c>
      <c r="B105" s="2" t="n">
        <v>2016</v>
      </c>
      <c r="C105" s="3" t="n">
        <v>42572</v>
      </c>
      <c r="D105" s="2" t="s">
        <v>12</v>
      </c>
      <c r="E105" s="2" t="s">
        <v>623</v>
      </c>
      <c r="F105" s="2" t="n">
        <v>2961</v>
      </c>
      <c r="G105" s="2" t="s">
        <v>382</v>
      </c>
      <c r="H105" s="2" t="s">
        <v>624</v>
      </c>
    </row>
    <row r="106" customFormat="false" ht="35.05" hidden="false" customHeight="false" outlineLevel="0" collapsed="false">
      <c r="A106" s="2" t="s">
        <v>625</v>
      </c>
      <c r="B106" s="2" t="n">
        <v>2016</v>
      </c>
      <c r="C106" s="3" t="n">
        <v>42570</v>
      </c>
      <c r="D106" s="2" t="s">
        <v>12</v>
      </c>
      <c r="E106" s="2" t="s">
        <v>626</v>
      </c>
      <c r="F106" s="2" t="n">
        <v>1255</v>
      </c>
      <c r="G106" s="2" t="s">
        <v>382</v>
      </c>
      <c r="H106" s="2" t="s">
        <v>627</v>
      </c>
    </row>
    <row r="107" customFormat="false" ht="23.85" hidden="false" customHeight="false" outlineLevel="0" collapsed="false">
      <c r="A107" s="2" t="s">
        <v>628</v>
      </c>
      <c r="B107" s="2" t="n">
        <v>2016</v>
      </c>
      <c r="C107" s="3" t="n">
        <v>42569</v>
      </c>
      <c r="D107" s="2" t="s">
        <v>12</v>
      </c>
      <c r="E107" s="2" t="s">
        <v>629</v>
      </c>
      <c r="F107" s="2" t="n">
        <v>731</v>
      </c>
      <c r="G107" s="2" t="s">
        <v>382</v>
      </c>
      <c r="H107" s="2" t="s">
        <v>630</v>
      </c>
    </row>
    <row r="108" customFormat="false" ht="46.25" hidden="false" customHeight="false" outlineLevel="0" collapsed="false">
      <c r="A108" s="2" t="s">
        <v>631</v>
      </c>
      <c r="B108" s="2" t="n">
        <v>2016</v>
      </c>
      <c r="C108" s="3" t="n">
        <v>42566</v>
      </c>
      <c r="D108" s="2" t="s">
        <v>80</v>
      </c>
      <c r="E108" s="2" t="s">
        <v>632</v>
      </c>
      <c r="F108" s="2" t="n">
        <v>1497</v>
      </c>
      <c r="G108" s="2" t="s">
        <v>382</v>
      </c>
      <c r="H108" s="2" t="s">
        <v>633</v>
      </c>
    </row>
    <row r="109" customFormat="false" ht="35.05" hidden="false" customHeight="false" outlineLevel="0" collapsed="false">
      <c r="A109" s="2" t="s">
        <v>634</v>
      </c>
      <c r="B109" s="2" t="n">
        <v>2016</v>
      </c>
      <c r="C109" s="3" t="n">
        <v>42564</v>
      </c>
      <c r="D109" s="2" t="s">
        <v>31</v>
      </c>
      <c r="E109" s="2" t="s">
        <v>635</v>
      </c>
      <c r="F109" s="2" t="n">
        <v>1440</v>
      </c>
      <c r="G109" s="2" t="s">
        <v>382</v>
      </c>
      <c r="H109" s="2" t="s">
        <v>636</v>
      </c>
    </row>
    <row r="110" customFormat="false" ht="23.85" hidden="false" customHeight="false" outlineLevel="0" collapsed="false">
      <c r="A110" s="2" t="s">
        <v>637</v>
      </c>
      <c r="B110" s="2" t="n">
        <v>2016</v>
      </c>
      <c r="C110" s="3" t="n">
        <v>42563</v>
      </c>
      <c r="D110" s="2" t="s">
        <v>31</v>
      </c>
      <c r="E110" s="2" t="s">
        <v>638</v>
      </c>
      <c r="F110" s="2" t="n">
        <v>982</v>
      </c>
      <c r="G110" s="2" t="s">
        <v>382</v>
      </c>
      <c r="H110" s="2" t="s">
        <v>639</v>
      </c>
    </row>
    <row r="111" customFormat="false" ht="46.25" hidden="false" customHeight="false" outlineLevel="0" collapsed="false">
      <c r="A111" s="2" t="s">
        <v>640</v>
      </c>
      <c r="B111" s="2" t="n">
        <v>2016</v>
      </c>
      <c r="C111" s="3" t="n">
        <v>42563</v>
      </c>
      <c r="D111" s="2" t="s">
        <v>80</v>
      </c>
      <c r="E111" s="2" t="s">
        <v>641</v>
      </c>
      <c r="F111" s="2" t="n">
        <v>2135</v>
      </c>
      <c r="G111" s="2" t="s">
        <v>382</v>
      </c>
      <c r="H111" s="2" t="s">
        <v>642</v>
      </c>
    </row>
    <row r="112" customFormat="false" ht="35.05" hidden="false" customHeight="false" outlineLevel="0" collapsed="false">
      <c r="A112" s="2" t="s">
        <v>643</v>
      </c>
      <c r="B112" s="2" t="n">
        <v>2016</v>
      </c>
      <c r="C112" s="3" t="n">
        <v>42562</v>
      </c>
      <c r="D112" s="2" t="s">
        <v>12</v>
      </c>
      <c r="E112" s="2" t="s">
        <v>644</v>
      </c>
      <c r="F112" s="2" t="n">
        <v>1113</v>
      </c>
      <c r="G112" s="2" t="s">
        <v>382</v>
      </c>
      <c r="H112" s="2" t="s">
        <v>645</v>
      </c>
    </row>
    <row r="113" customFormat="false" ht="35.05" hidden="false" customHeight="false" outlineLevel="0" collapsed="false">
      <c r="A113" s="2" t="s">
        <v>646</v>
      </c>
      <c r="B113" s="2" t="n">
        <v>2016</v>
      </c>
      <c r="C113" s="3" t="n">
        <v>42562</v>
      </c>
      <c r="D113" s="2" t="s">
        <v>31</v>
      </c>
      <c r="E113" s="2" t="s">
        <v>647</v>
      </c>
      <c r="F113" s="2" t="n">
        <v>1389</v>
      </c>
      <c r="G113" s="2" t="s">
        <v>382</v>
      </c>
      <c r="H113" s="2" t="s">
        <v>648</v>
      </c>
    </row>
    <row r="114" customFormat="false" ht="46.25" hidden="false" customHeight="false" outlineLevel="0" collapsed="false">
      <c r="A114" s="2" t="s">
        <v>649</v>
      </c>
      <c r="B114" s="2" t="n">
        <v>2016</v>
      </c>
      <c r="C114" s="3" t="n">
        <v>42562</v>
      </c>
      <c r="D114" s="2" t="s">
        <v>80</v>
      </c>
      <c r="E114" s="2" t="s">
        <v>650</v>
      </c>
      <c r="F114" s="2" t="n">
        <v>1782</v>
      </c>
      <c r="G114" s="2" t="s">
        <v>382</v>
      </c>
      <c r="H114" s="2" t="s">
        <v>651</v>
      </c>
    </row>
    <row r="115" customFormat="false" ht="35.05" hidden="false" customHeight="false" outlineLevel="0" collapsed="false">
      <c r="A115" s="2" t="s">
        <v>652</v>
      </c>
      <c r="B115" s="2" t="n">
        <v>2016</v>
      </c>
      <c r="C115" s="3" t="n">
        <v>42559</v>
      </c>
      <c r="D115" s="2" t="s">
        <v>31</v>
      </c>
      <c r="E115" s="2" t="s">
        <v>653</v>
      </c>
      <c r="F115" s="2" t="n">
        <v>1422</v>
      </c>
      <c r="G115" s="2" t="s">
        <v>382</v>
      </c>
      <c r="H115" s="2" t="s">
        <v>654</v>
      </c>
    </row>
    <row r="116" customFormat="false" ht="35.05" hidden="false" customHeight="false" outlineLevel="0" collapsed="false">
      <c r="A116" s="2" t="s">
        <v>655</v>
      </c>
      <c r="B116" s="2" t="n">
        <v>2016</v>
      </c>
      <c r="C116" s="3" t="n">
        <v>42557</v>
      </c>
      <c r="D116" s="2" t="s">
        <v>31</v>
      </c>
      <c r="E116" s="2" t="s">
        <v>656</v>
      </c>
      <c r="F116" s="2" t="n">
        <v>1329</v>
      </c>
      <c r="G116" s="2" t="s">
        <v>382</v>
      </c>
      <c r="H116" s="2" t="s">
        <v>657</v>
      </c>
    </row>
    <row r="117" customFormat="false" ht="23.85" hidden="false" customHeight="false" outlineLevel="0" collapsed="false">
      <c r="A117" s="2" t="s">
        <v>658</v>
      </c>
      <c r="B117" s="2" t="n">
        <v>2016</v>
      </c>
      <c r="C117" s="3" t="n">
        <v>42557</v>
      </c>
      <c r="D117" s="2" t="s">
        <v>12</v>
      </c>
      <c r="E117" s="2" t="s">
        <v>659</v>
      </c>
      <c r="F117" s="2" t="n">
        <v>2498</v>
      </c>
      <c r="G117" s="2" t="s">
        <v>382</v>
      </c>
      <c r="H117" s="2" t="s">
        <v>660</v>
      </c>
    </row>
    <row r="118" customFormat="false" ht="23.85" hidden="false" customHeight="false" outlineLevel="0" collapsed="false">
      <c r="A118" s="2" t="s">
        <v>661</v>
      </c>
      <c r="B118" s="2" t="n">
        <v>2016</v>
      </c>
      <c r="C118" s="3" t="n">
        <v>42556</v>
      </c>
      <c r="D118" s="2" t="s">
        <v>12</v>
      </c>
      <c r="E118" s="2" t="s">
        <v>662</v>
      </c>
      <c r="F118" s="2" t="n">
        <v>1127</v>
      </c>
      <c r="G118" s="2" t="s">
        <v>382</v>
      </c>
      <c r="H118" s="2" t="s">
        <v>663</v>
      </c>
    </row>
    <row r="119" customFormat="false" ht="46.25" hidden="false" customHeight="false" outlineLevel="0" collapsed="false">
      <c r="A119" s="2" t="s">
        <v>664</v>
      </c>
      <c r="B119" s="2" t="n">
        <v>2016</v>
      </c>
      <c r="C119" s="3" t="n">
        <v>42556</v>
      </c>
      <c r="D119" s="2" t="s">
        <v>12</v>
      </c>
      <c r="E119" s="2" t="s">
        <v>665</v>
      </c>
      <c r="F119" s="2" t="n">
        <v>3015</v>
      </c>
      <c r="G119" s="2" t="s">
        <v>382</v>
      </c>
      <c r="H119" s="2" t="s">
        <v>666</v>
      </c>
    </row>
    <row r="120" customFormat="false" ht="23.85" hidden="false" customHeight="false" outlineLevel="0" collapsed="false">
      <c r="A120" s="2" t="s">
        <v>667</v>
      </c>
      <c r="B120" s="2" t="n">
        <v>2016</v>
      </c>
      <c r="C120" s="3" t="n">
        <v>42555</v>
      </c>
      <c r="D120" s="2" t="s">
        <v>12</v>
      </c>
      <c r="E120" s="2" t="s">
        <v>668</v>
      </c>
      <c r="F120" s="2" t="n">
        <v>795</v>
      </c>
      <c r="G120" s="2" t="s">
        <v>382</v>
      </c>
      <c r="H120" s="2" t="s">
        <v>669</v>
      </c>
    </row>
    <row r="121" customFormat="false" ht="23.85" hidden="false" customHeight="false" outlineLevel="0" collapsed="false">
      <c r="A121" s="2" t="s">
        <v>670</v>
      </c>
      <c r="B121" s="2" t="n">
        <v>2016</v>
      </c>
      <c r="C121" s="3" t="n">
        <v>42555</v>
      </c>
      <c r="D121" s="2" t="s">
        <v>12</v>
      </c>
      <c r="E121" s="2" t="s">
        <v>671</v>
      </c>
      <c r="F121" s="2" t="n">
        <v>735</v>
      </c>
      <c r="G121" s="2" t="s">
        <v>382</v>
      </c>
      <c r="H121" s="2" t="s">
        <v>672</v>
      </c>
    </row>
    <row r="122" customFormat="false" ht="35.05" hidden="false" customHeight="false" outlineLevel="0" collapsed="false">
      <c r="A122" s="2" t="s">
        <v>673</v>
      </c>
      <c r="B122" s="2" t="n">
        <v>2016</v>
      </c>
      <c r="C122" s="3" t="n">
        <v>42555</v>
      </c>
      <c r="D122" s="2" t="s">
        <v>12</v>
      </c>
      <c r="E122" s="2" t="s">
        <v>674</v>
      </c>
      <c r="F122" s="2" t="n">
        <v>4372</v>
      </c>
      <c r="G122" s="2" t="s">
        <v>382</v>
      </c>
      <c r="H122" s="2" t="s">
        <v>675</v>
      </c>
    </row>
    <row r="123" customFormat="false" ht="23.85" hidden="false" customHeight="false" outlineLevel="0" collapsed="false">
      <c r="A123" s="2" t="s">
        <v>676</v>
      </c>
      <c r="B123" s="2" t="n">
        <v>2016</v>
      </c>
      <c r="C123" s="3" t="n">
        <v>42555</v>
      </c>
      <c r="D123" s="2" t="s">
        <v>12</v>
      </c>
      <c r="E123" s="2" t="s">
        <v>677</v>
      </c>
      <c r="F123" s="2" t="n">
        <v>1340</v>
      </c>
      <c r="G123" s="2" t="s">
        <v>382</v>
      </c>
      <c r="H123" s="2" t="s">
        <v>678</v>
      </c>
    </row>
    <row r="124" customFormat="false" ht="35.05" hidden="false" customHeight="false" outlineLevel="0" collapsed="false">
      <c r="A124" s="2" t="s">
        <v>679</v>
      </c>
      <c r="B124" s="2" t="n">
        <v>2016</v>
      </c>
      <c r="C124" s="3" t="n">
        <v>42555</v>
      </c>
      <c r="D124" s="2" t="s">
        <v>75</v>
      </c>
      <c r="E124" s="2" t="s">
        <v>680</v>
      </c>
      <c r="F124" s="2" t="n">
        <v>2340</v>
      </c>
      <c r="G124" s="2" t="s">
        <v>382</v>
      </c>
      <c r="H124" s="2" t="s">
        <v>681</v>
      </c>
    </row>
    <row r="125" customFormat="false" ht="46.25" hidden="false" customHeight="false" outlineLevel="0" collapsed="false">
      <c r="A125" s="2" t="s">
        <v>682</v>
      </c>
      <c r="B125" s="2" t="n">
        <v>2015</v>
      </c>
      <c r="C125" s="3" t="n">
        <v>42553</v>
      </c>
      <c r="D125" s="2" t="s">
        <v>80</v>
      </c>
      <c r="E125" s="2" t="s">
        <v>683</v>
      </c>
      <c r="F125" s="2" t="n">
        <v>1384</v>
      </c>
      <c r="G125" s="2" t="s">
        <v>382</v>
      </c>
      <c r="H125" s="2" t="s">
        <v>684</v>
      </c>
    </row>
    <row r="126" customFormat="false" ht="23.85" hidden="false" customHeight="false" outlineLevel="0" collapsed="false">
      <c r="A126" s="2" t="s">
        <v>685</v>
      </c>
      <c r="B126" s="2" t="n">
        <v>2016</v>
      </c>
      <c r="C126" s="3" t="n">
        <v>42552</v>
      </c>
      <c r="D126" s="2" t="s">
        <v>12</v>
      </c>
      <c r="E126" s="2" t="s">
        <v>686</v>
      </c>
      <c r="F126" s="2" t="n">
        <v>1122</v>
      </c>
      <c r="G126" s="2" t="s">
        <v>382</v>
      </c>
      <c r="H126" s="2" t="s">
        <v>687</v>
      </c>
    </row>
    <row r="127" customFormat="false" ht="35.05" hidden="false" customHeight="false" outlineLevel="0" collapsed="false">
      <c r="A127" s="2" t="s">
        <v>688</v>
      </c>
      <c r="B127" s="2" t="n">
        <v>2016</v>
      </c>
      <c r="C127" s="3" t="n">
        <v>42551</v>
      </c>
      <c r="D127" s="2" t="s">
        <v>31</v>
      </c>
      <c r="E127" s="2" t="s">
        <v>689</v>
      </c>
      <c r="F127" s="2" t="n">
        <v>632</v>
      </c>
      <c r="G127" s="2" t="s">
        <v>382</v>
      </c>
      <c r="H127" s="2" t="s">
        <v>690</v>
      </c>
    </row>
    <row r="128" customFormat="false" ht="46.25" hidden="false" customHeight="false" outlineLevel="0" collapsed="false">
      <c r="A128" s="2" t="s">
        <v>691</v>
      </c>
      <c r="B128" s="2" t="n">
        <v>2016</v>
      </c>
      <c r="C128" s="3" t="n">
        <v>42550</v>
      </c>
      <c r="D128" s="2" t="s">
        <v>619</v>
      </c>
      <c r="E128" s="2" t="s">
        <v>692</v>
      </c>
      <c r="F128" s="2" t="n">
        <v>1913</v>
      </c>
      <c r="G128" s="2" t="s">
        <v>382</v>
      </c>
      <c r="H128" s="2" t="s">
        <v>693</v>
      </c>
    </row>
    <row r="129" customFormat="false" ht="35.05" hidden="false" customHeight="false" outlineLevel="0" collapsed="false">
      <c r="A129" s="2" t="s">
        <v>694</v>
      </c>
      <c r="B129" s="2" t="n">
        <v>2016</v>
      </c>
      <c r="C129" s="3" t="n">
        <v>42550</v>
      </c>
      <c r="D129" s="2" t="s">
        <v>19</v>
      </c>
      <c r="E129" s="2" t="s">
        <v>695</v>
      </c>
      <c r="F129" s="2" t="n">
        <v>4277</v>
      </c>
      <c r="G129" s="2" t="s">
        <v>382</v>
      </c>
      <c r="H129" s="2" t="s">
        <v>696</v>
      </c>
    </row>
    <row r="130" customFormat="false" ht="46.25" hidden="false" customHeight="false" outlineLevel="0" collapsed="false">
      <c r="A130" s="2" t="s">
        <v>697</v>
      </c>
      <c r="B130" s="2" t="n">
        <v>2016</v>
      </c>
      <c r="C130" s="3" t="n">
        <v>42544</v>
      </c>
      <c r="D130" s="2" t="s">
        <v>80</v>
      </c>
      <c r="E130" s="2" t="s">
        <v>698</v>
      </c>
      <c r="F130" s="2" t="n">
        <v>1168</v>
      </c>
      <c r="G130" s="2" t="s">
        <v>382</v>
      </c>
      <c r="H130" s="2" t="s">
        <v>699</v>
      </c>
    </row>
    <row r="131" customFormat="false" ht="35.05" hidden="false" customHeight="false" outlineLevel="0" collapsed="false">
      <c r="A131" s="2" t="s">
        <v>700</v>
      </c>
      <c r="B131" s="2" t="n">
        <v>2016</v>
      </c>
      <c r="C131" s="3" t="n">
        <v>42542</v>
      </c>
      <c r="D131" s="2" t="s">
        <v>19</v>
      </c>
      <c r="E131" s="2" t="s">
        <v>701</v>
      </c>
      <c r="F131" s="2" t="n">
        <v>1448</v>
      </c>
      <c r="G131" s="2" t="s">
        <v>382</v>
      </c>
      <c r="H131" s="2" t="s">
        <v>702</v>
      </c>
    </row>
    <row r="132" customFormat="false" ht="35.05" hidden="false" customHeight="false" outlineLevel="0" collapsed="false">
      <c r="A132" s="2" t="s">
        <v>703</v>
      </c>
      <c r="B132" s="2" t="n">
        <v>2016</v>
      </c>
      <c r="C132" s="3" t="n">
        <v>42536</v>
      </c>
      <c r="D132" s="2" t="s">
        <v>19</v>
      </c>
      <c r="E132" s="2" t="s">
        <v>704</v>
      </c>
      <c r="F132" s="2" t="n">
        <v>1458</v>
      </c>
      <c r="G132" s="2" t="s">
        <v>382</v>
      </c>
      <c r="H132" s="2" t="s">
        <v>705</v>
      </c>
    </row>
    <row r="133" customFormat="false" ht="23.85" hidden="false" customHeight="false" outlineLevel="0" collapsed="false">
      <c r="A133" s="2" t="s">
        <v>706</v>
      </c>
      <c r="B133" s="2" t="n">
        <v>2016</v>
      </c>
      <c r="C133" s="3" t="n">
        <v>42529</v>
      </c>
      <c r="D133" s="2" t="s">
        <v>619</v>
      </c>
      <c r="E133" s="2" t="s">
        <v>707</v>
      </c>
      <c r="F133" s="2" t="n">
        <v>1275</v>
      </c>
      <c r="G133" s="2" t="s">
        <v>382</v>
      </c>
      <c r="H133" s="2" t="s">
        <v>708</v>
      </c>
    </row>
    <row r="134" customFormat="false" ht="46.25" hidden="false" customHeight="false" outlineLevel="0" collapsed="false">
      <c r="A134" s="2" t="s">
        <v>709</v>
      </c>
      <c r="B134" s="2" t="n">
        <v>2016</v>
      </c>
      <c r="C134" s="3" t="n">
        <v>42528</v>
      </c>
      <c r="D134" s="2" t="s">
        <v>12</v>
      </c>
      <c r="E134" s="2" t="s">
        <v>710</v>
      </c>
      <c r="F134" s="2" t="n">
        <v>2316</v>
      </c>
      <c r="G134" s="2" t="s">
        <v>382</v>
      </c>
      <c r="H134" s="2" t="s">
        <v>711</v>
      </c>
    </row>
    <row r="135" customFormat="false" ht="23.85" hidden="false" customHeight="false" outlineLevel="0" collapsed="false">
      <c r="A135" s="2" t="s">
        <v>712</v>
      </c>
      <c r="B135" s="2" t="n">
        <v>2016</v>
      </c>
      <c r="C135" s="3" t="n">
        <v>42525</v>
      </c>
      <c r="D135" s="2" t="s">
        <v>12</v>
      </c>
      <c r="E135" s="2" t="s">
        <v>713</v>
      </c>
      <c r="F135" s="2" t="n">
        <v>2118</v>
      </c>
      <c r="G135" s="2" t="s">
        <v>382</v>
      </c>
      <c r="H135" s="2" t="s">
        <v>714</v>
      </c>
    </row>
    <row r="136" customFormat="false" ht="46.25" hidden="false" customHeight="false" outlineLevel="0" collapsed="false">
      <c r="A136" s="2" t="s">
        <v>715</v>
      </c>
      <c r="B136" s="2" t="n">
        <v>2016</v>
      </c>
      <c r="C136" s="3" t="n">
        <v>42522</v>
      </c>
      <c r="D136" s="2" t="s">
        <v>80</v>
      </c>
      <c r="E136" s="2" t="s">
        <v>716</v>
      </c>
      <c r="F136" s="2" t="n">
        <v>1923</v>
      </c>
      <c r="G136" s="2" t="s">
        <v>382</v>
      </c>
      <c r="H136" s="2" t="s">
        <v>717</v>
      </c>
    </row>
    <row r="137" customFormat="false" ht="23.85" hidden="false" customHeight="false" outlineLevel="0" collapsed="false">
      <c r="A137" s="2" t="s">
        <v>718</v>
      </c>
      <c r="B137" s="2" t="n">
        <v>2016</v>
      </c>
      <c r="C137" s="3" t="n">
        <v>42514</v>
      </c>
      <c r="D137" s="2" t="s">
        <v>12</v>
      </c>
      <c r="E137" s="2" t="s">
        <v>719</v>
      </c>
      <c r="F137" s="2" t="n">
        <v>793</v>
      </c>
      <c r="G137" s="2" t="s">
        <v>382</v>
      </c>
      <c r="H137" s="2" t="s">
        <v>720</v>
      </c>
    </row>
    <row r="138" customFormat="false" ht="46.25" hidden="false" customHeight="false" outlineLevel="0" collapsed="false">
      <c r="A138" s="2" t="s">
        <v>721</v>
      </c>
      <c r="B138" s="2" t="n">
        <v>2015</v>
      </c>
      <c r="C138" s="3" t="n">
        <v>42510</v>
      </c>
      <c r="D138" s="2" t="s">
        <v>31</v>
      </c>
      <c r="E138" s="2" t="s">
        <v>722</v>
      </c>
      <c r="F138" s="2" t="n">
        <v>1250</v>
      </c>
      <c r="G138" s="2" t="s">
        <v>382</v>
      </c>
      <c r="H138" s="2" t="s">
        <v>723</v>
      </c>
    </row>
    <row r="139" customFormat="false" ht="35.05" hidden="false" customHeight="false" outlineLevel="0" collapsed="false">
      <c r="A139" s="2" t="s">
        <v>724</v>
      </c>
      <c r="B139" s="2" t="n">
        <v>2016</v>
      </c>
      <c r="C139" s="3" t="n">
        <v>42510</v>
      </c>
      <c r="D139" s="2" t="s">
        <v>19</v>
      </c>
      <c r="E139" s="2" t="s">
        <v>725</v>
      </c>
      <c r="F139" s="2" t="n">
        <v>3193</v>
      </c>
      <c r="G139" s="2" t="s">
        <v>382</v>
      </c>
      <c r="H139" s="2" t="s">
        <v>726</v>
      </c>
    </row>
    <row r="140" customFormat="false" ht="46.25" hidden="false" customHeight="false" outlineLevel="0" collapsed="false">
      <c r="A140" s="2" t="s">
        <v>727</v>
      </c>
      <c r="B140" s="2" t="n">
        <v>2016</v>
      </c>
      <c r="C140" s="3" t="n">
        <v>42510</v>
      </c>
      <c r="D140" s="2" t="s">
        <v>80</v>
      </c>
      <c r="E140" s="2" t="s">
        <v>728</v>
      </c>
      <c r="F140" s="2" t="n">
        <v>1748</v>
      </c>
      <c r="G140" s="2" t="s">
        <v>382</v>
      </c>
      <c r="H140" s="2" t="s">
        <v>729</v>
      </c>
    </row>
    <row r="141" customFormat="false" ht="46.25" hidden="false" customHeight="false" outlineLevel="0" collapsed="false">
      <c r="A141" s="2" t="s">
        <v>724</v>
      </c>
      <c r="B141" s="2" t="n">
        <v>2016</v>
      </c>
      <c r="C141" s="3" t="n">
        <v>42509</v>
      </c>
      <c r="D141" s="2" t="s">
        <v>12</v>
      </c>
      <c r="E141" s="2" t="s">
        <v>730</v>
      </c>
      <c r="F141" s="2" t="n">
        <v>1436</v>
      </c>
      <c r="G141" s="2" t="s">
        <v>382</v>
      </c>
      <c r="H141" s="2" t="s">
        <v>731</v>
      </c>
    </row>
    <row r="142" customFormat="false" ht="35.05" hidden="false" customHeight="false" outlineLevel="0" collapsed="false">
      <c r="A142" s="2" t="s">
        <v>732</v>
      </c>
      <c r="B142" s="2" t="n">
        <v>2016</v>
      </c>
      <c r="C142" s="3" t="n">
        <v>42500</v>
      </c>
      <c r="D142" s="2" t="s">
        <v>75</v>
      </c>
      <c r="E142" s="2" t="s">
        <v>733</v>
      </c>
      <c r="F142" s="2" t="n">
        <v>1479</v>
      </c>
      <c r="G142" s="2" t="s">
        <v>382</v>
      </c>
      <c r="H142" s="2" t="s">
        <v>734</v>
      </c>
    </row>
    <row r="143" customFormat="false" ht="23.85" hidden="false" customHeight="false" outlineLevel="0" collapsed="false">
      <c r="A143" s="2" t="s">
        <v>735</v>
      </c>
      <c r="B143" s="2" t="n">
        <v>2016</v>
      </c>
      <c r="C143" s="3" t="n">
        <v>42494</v>
      </c>
      <c r="D143" s="2" t="s">
        <v>12</v>
      </c>
      <c r="E143" s="2" t="s">
        <v>736</v>
      </c>
      <c r="F143" s="2" t="n">
        <v>630</v>
      </c>
      <c r="G143" s="2" t="s">
        <v>382</v>
      </c>
      <c r="H143" s="2" t="s">
        <v>737</v>
      </c>
    </row>
    <row r="144" customFormat="false" ht="35.05" hidden="false" customHeight="false" outlineLevel="0" collapsed="false">
      <c r="A144" s="2" t="s">
        <v>738</v>
      </c>
      <c r="B144" s="2" t="n">
        <v>2016</v>
      </c>
      <c r="C144" s="3" t="n">
        <v>42478</v>
      </c>
      <c r="D144" s="2" t="s">
        <v>12</v>
      </c>
      <c r="E144" s="2" t="s">
        <v>739</v>
      </c>
      <c r="F144" s="2" t="n">
        <v>843</v>
      </c>
      <c r="G144" s="2" t="s">
        <v>382</v>
      </c>
      <c r="H144" s="2" t="s">
        <v>740</v>
      </c>
    </row>
    <row r="145" customFormat="false" ht="46.25" hidden="false" customHeight="false" outlineLevel="0" collapsed="false">
      <c r="A145" s="2" t="s">
        <v>741</v>
      </c>
      <c r="B145" s="2" t="n">
        <v>2016</v>
      </c>
      <c r="C145" s="3" t="n">
        <v>42478</v>
      </c>
      <c r="D145" s="2" t="s">
        <v>75</v>
      </c>
      <c r="E145" s="2" t="s">
        <v>742</v>
      </c>
      <c r="F145" s="2" t="n">
        <v>3418</v>
      </c>
      <c r="G145" s="2" t="s">
        <v>382</v>
      </c>
      <c r="H145" s="2" t="s">
        <v>743</v>
      </c>
    </row>
    <row r="146" customFormat="false" ht="46.25" hidden="false" customHeight="false" outlineLevel="0" collapsed="false">
      <c r="A146" s="2" t="s">
        <v>744</v>
      </c>
      <c r="B146" s="2" t="n">
        <v>2016</v>
      </c>
      <c r="C146" s="3" t="n">
        <v>42462</v>
      </c>
      <c r="D146" s="2" t="s">
        <v>80</v>
      </c>
      <c r="E146" s="2" t="s">
        <v>745</v>
      </c>
      <c r="F146" s="2" t="n">
        <v>1914</v>
      </c>
      <c r="G146" s="2" t="s">
        <v>382</v>
      </c>
      <c r="H146" s="2" t="s">
        <v>746</v>
      </c>
    </row>
    <row r="147" customFormat="false" ht="46.25" hidden="false" customHeight="false" outlineLevel="0" collapsed="false">
      <c r="A147" s="2" t="s">
        <v>747</v>
      </c>
      <c r="B147" s="2" t="n">
        <v>2016</v>
      </c>
      <c r="C147" s="3" t="n">
        <v>42457</v>
      </c>
      <c r="D147" s="2" t="s">
        <v>75</v>
      </c>
      <c r="E147" s="2" t="s">
        <v>748</v>
      </c>
      <c r="F147" s="2" t="n">
        <v>1880</v>
      </c>
      <c r="G147" s="2" t="s">
        <v>382</v>
      </c>
      <c r="H147" s="2" t="s">
        <v>749</v>
      </c>
    </row>
    <row r="148" customFormat="false" ht="46.25" hidden="false" customHeight="false" outlineLevel="0" collapsed="false">
      <c r="A148" s="2" t="s">
        <v>750</v>
      </c>
      <c r="B148" s="2" t="n">
        <v>2016</v>
      </c>
      <c r="C148" s="3" t="n">
        <v>42457</v>
      </c>
      <c r="D148" s="2" t="s">
        <v>75</v>
      </c>
      <c r="E148" s="2" t="s">
        <v>751</v>
      </c>
      <c r="F148" s="2" t="n">
        <v>1399</v>
      </c>
      <c r="G148" s="2" t="s">
        <v>382</v>
      </c>
      <c r="H148" s="2" t="s">
        <v>752</v>
      </c>
    </row>
    <row r="149" customFormat="false" ht="35.05" hidden="false" customHeight="false" outlineLevel="0" collapsed="false">
      <c r="A149" s="2" t="s">
        <v>753</v>
      </c>
      <c r="B149" s="2" t="n">
        <v>2016</v>
      </c>
      <c r="C149" s="3" t="n">
        <v>42446</v>
      </c>
      <c r="D149" s="2" t="s">
        <v>31</v>
      </c>
      <c r="E149" s="2" t="s">
        <v>754</v>
      </c>
      <c r="F149" s="2" t="n">
        <v>1476</v>
      </c>
      <c r="G149" s="2" t="s">
        <v>382</v>
      </c>
      <c r="H149" s="2" t="s">
        <v>755</v>
      </c>
    </row>
    <row r="150" customFormat="false" ht="35.05" hidden="false" customHeight="false" outlineLevel="0" collapsed="false">
      <c r="A150" s="2" t="s">
        <v>756</v>
      </c>
      <c r="B150" s="2" t="n">
        <v>2016</v>
      </c>
      <c r="C150" s="3" t="n">
        <v>42445</v>
      </c>
      <c r="D150" s="2" t="s">
        <v>31</v>
      </c>
      <c r="E150" s="2" t="s">
        <v>757</v>
      </c>
      <c r="F150" s="2" t="n">
        <v>1331</v>
      </c>
      <c r="G150" s="2" t="s">
        <v>382</v>
      </c>
      <c r="H150" s="2" t="s">
        <v>758</v>
      </c>
    </row>
    <row r="151" customFormat="false" ht="46.25" hidden="false" customHeight="false" outlineLevel="0" collapsed="false">
      <c r="A151" s="2" t="s">
        <v>759</v>
      </c>
      <c r="B151" s="2" t="n">
        <v>2016</v>
      </c>
      <c r="C151" s="3" t="n">
        <v>42445</v>
      </c>
      <c r="D151" s="2" t="s">
        <v>12</v>
      </c>
      <c r="E151" s="2" t="s">
        <v>760</v>
      </c>
      <c r="F151" s="2" t="n">
        <v>2116</v>
      </c>
      <c r="G151" s="2" t="s">
        <v>382</v>
      </c>
      <c r="H151" s="2" t="s">
        <v>761</v>
      </c>
    </row>
    <row r="152" customFormat="false" ht="46.25" hidden="false" customHeight="false" outlineLevel="0" collapsed="false">
      <c r="A152" s="2" t="s">
        <v>762</v>
      </c>
      <c r="B152" s="2" t="n">
        <v>2016</v>
      </c>
      <c r="C152" s="3" t="n">
        <v>42445</v>
      </c>
      <c r="D152" s="2" t="s">
        <v>75</v>
      </c>
      <c r="E152" s="2" t="s">
        <v>763</v>
      </c>
      <c r="F152" s="2" t="n">
        <v>1459</v>
      </c>
      <c r="G152" s="2" t="s">
        <v>382</v>
      </c>
      <c r="H152" s="2" t="s">
        <v>764</v>
      </c>
    </row>
    <row r="153" customFormat="false" ht="46.25" hidden="false" customHeight="false" outlineLevel="0" collapsed="false">
      <c r="A153" s="2" t="s">
        <v>765</v>
      </c>
      <c r="B153" s="2" t="n">
        <v>2016</v>
      </c>
      <c r="C153" s="3" t="n">
        <v>42445</v>
      </c>
      <c r="D153" s="2" t="s">
        <v>80</v>
      </c>
      <c r="E153" s="2" t="s">
        <v>766</v>
      </c>
      <c r="F153" s="2" t="n">
        <v>2926</v>
      </c>
      <c r="G153" s="2" t="s">
        <v>382</v>
      </c>
      <c r="H153" s="2" t="s">
        <v>767</v>
      </c>
    </row>
    <row r="154" customFormat="false" ht="35.05" hidden="false" customHeight="false" outlineLevel="0" collapsed="false">
      <c r="A154" s="2" t="s">
        <v>768</v>
      </c>
      <c r="B154" s="2" t="n">
        <v>2016</v>
      </c>
      <c r="C154" s="3" t="n">
        <v>42433</v>
      </c>
      <c r="D154" s="2" t="s">
        <v>619</v>
      </c>
      <c r="E154" s="2" t="s">
        <v>769</v>
      </c>
      <c r="F154" s="2" t="n">
        <v>432</v>
      </c>
      <c r="G154" s="2" t="s">
        <v>382</v>
      </c>
      <c r="H154" s="2" t="s">
        <v>770</v>
      </c>
    </row>
    <row r="155" customFormat="false" ht="23.85" hidden="false" customHeight="false" outlineLevel="0" collapsed="false">
      <c r="A155" s="2" t="s">
        <v>771</v>
      </c>
      <c r="B155" s="2" t="n">
        <v>2016</v>
      </c>
      <c r="C155" s="3" t="n">
        <v>42433</v>
      </c>
      <c r="D155" s="2" t="s">
        <v>31</v>
      </c>
      <c r="E155" s="2" t="s">
        <v>772</v>
      </c>
      <c r="F155" s="2" t="n">
        <v>1416</v>
      </c>
      <c r="G155" s="2" t="s">
        <v>382</v>
      </c>
      <c r="H155" s="2" t="s">
        <v>773</v>
      </c>
    </row>
    <row r="156" customFormat="false" ht="46.25" hidden="false" customHeight="false" outlineLevel="0" collapsed="false">
      <c r="A156" s="2" t="s">
        <v>774</v>
      </c>
      <c r="B156" s="2" t="n">
        <v>2016</v>
      </c>
      <c r="C156" s="3" t="n">
        <v>42433</v>
      </c>
      <c r="D156" s="2" t="s">
        <v>12</v>
      </c>
      <c r="E156" s="2" t="s">
        <v>775</v>
      </c>
      <c r="F156" s="2" t="n">
        <v>1480</v>
      </c>
      <c r="G156" s="2" t="s">
        <v>382</v>
      </c>
      <c r="H156" s="2" t="s">
        <v>776</v>
      </c>
    </row>
    <row r="157" customFormat="false" ht="46.25" hidden="false" customHeight="false" outlineLevel="0" collapsed="false">
      <c r="A157" s="2" t="s">
        <v>777</v>
      </c>
      <c r="B157" s="2" t="n">
        <v>2016</v>
      </c>
      <c r="C157" s="3" t="n">
        <v>42431</v>
      </c>
      <c r="D157" s="2" t="s">
        <v>19</v>
      </c>
      <c r="E157" s="2" t="s">
        <v>778</v>
      </c>
      <c r="F157" s="2" t="n">
        <v>2797</v>
      </c>
      <c r="G157" s="2" t="s">
        <v>382</v>
      </c>
      <c r="H157" s="2" t="s">
        <v>779</v>
      </c>
    </row>
    <row r="158" customFormat="false" ht="35.05" hidden="false" customHeight="false" outlineLevel="0" collapsed="false">
      <c r="A158" s="2" t="s">
        <v>780</v>
      </c>
      <c r="B158" s="2" t="n">
        <v>2016</v>
      </c>
      <c r="C158" s="3" t="n">
        <v>42430</v>
      </c>
      <c r="D158" s="2" t="s">
        <v>12</v>
      </c>
      <c r="E158" s="2" t="s">
        <v>781</v>
      </c>
      <c r="F158" s="2" t="n">
        <v>2946</v>
      </c>
      <c r="G158" s="2" t="s">
        <v>382</v>
      </c>
      <c r="H158" s="2" t="s">
        <v>782</v>
      </c>
    </row>
    <row r="159" customFormat="false" ht="35.05" hidden="false" customHeight="false" outlineLevel="0" collapsed="false">
      <c r="A159" s="2" t="s">
        <v>783</v>
      </c>
      <c r="B159" s="2" t="n">
        <v>2016</v>
      </c>
      <c r="C159" s="3" t="n">
        <v>42429</v>
      </c>
      <c r="D159" s="2" t="s">
        <v>31</v>
      </c>
      <c r="E159" s="2" t="s">
        <v>784</v>
      </c>
      <c r="F159" s="2" t="n">
        <v>1598</v>
      </c>
      <c r="G159" s="2" t="s">
        <v>382</v>
      </c>
      <c r="H159" s="2" t="s">
        <v>785</v>
      </c>
    </row>
    <row r="160" customFormat="false" ht="46.25" hidden="false" customHeight="false" outlineLevel="0" collapsed="false">
      <c r="A160" s="2" t="s">
        <v>786</v>
      </c>
      <c r="B160" s="2" t="n">
        <v>2016</v>
      </c>
      <c r="C160" s="3" t="n">
        <v>42429</v>
      </c>
      <c r="D160" s="2" t="s">
        <v>12</v>
      </c>
      <c r="E160" s="2" t="s">
        <v>787</v>
      </c>
      <c r="F160" s="2" t="n">
        <v>1703</v>
      </c>
      <c r="G160" s="2" t="s">
        <v>382</v>
      </c>
      <c r="H160" s="2" t="s">
        <v>788</v>
      </c>
    </row>
    <row r="161" customFormat="false" ht="35.05" hidden="false" customHeight="false" outlineLevel="0" collapsed="false">
      <c r="A161" s="2" t="s">
        <v>789</v>
      </c>
      <c r="B161" s="2" t="n">
        <v>2016</v>
      </c>
      <c r="C161" s="3" t="n">
        <v>42429</v>
      </c>
      <c r="D161" s="2" t="s">
        <v>75</v>
      </c>
      <c r="E161" s="2" t="s">
        <v>790</v>
      </c>
      <c r="F161" s="2" t="n">
        <v>1362</v>
      </c>
      <c r="G161" s="2" t="s">
        <v>382</v>
      </c>
      <c r="H161" s="2" t="s">
        <v>791</v>
      </c>
    </row>
    <row r="162" customFormat="false" ht="35.05" hidden="false" customHeight="false" outlineLevel="0" collapsed="false">
      <c r="A162" s="2" t="s">
        <v>792</v>
      </c>
      <c r="B162" s="2" t="n">
        <v>2016</v>
      </c>
      <c r="C162" s="3" t="n">
        <v>42425</v>
      </c>
      <c r="D162" s="2" t="s">
        <v>12</v>
      </c>
      <c r="E162" s="2" t="s">
        <v>793</v>
      </c>
      <c r="F162" s="2" t="n">
        <v>1238</v>
      </c>
      <c r="G162" s="2" t="s">
        <v>382</v>
      </c>
      <c r="H162" s="2" t="s">
        <v>794</v>
      </c>
    </row>
    <row r="163" customFormat="false" ht="23.85" hidden="false" customHeight="false" outlineLevel="0" collapsed="false">
      <c r="A163" s="2" t="s">
        <v>795</v>
      </c>
      <c r="B163" s="2" t="n">
        <v>2016</v>
      </c>
      <c r="C163" s="3" t="n">
        <v>42425</v>
      </c>
      <c r="D163" s="2" t="s">
        <v>12</v>
      </c>
      <c r="E163" s="2" t="s">
        <v>796</v>
      </c>
      <c r="F163" s="2" t="n">
        <v>492</v>
      </c>
      <c r="G163" s="2" t="s">
        <v>382</v>
      </c>
      <c r="H163" s="2" t="s">
        <v>797</v>
      </c>
    </row>
    <row r="164" customFormat="false" ht="35.05" hidden="false" customHeight="false" outlineLevel="0" collapsed="false">
      <c r="A164" s="2" t="s">
        <v>798</v>
      </c>
      <c r="B164" s="2" t="n">
        <v>2016</v>
      </c>
      <c r="C164" s="3" t="n">
        <v>42425</v>
      </c>
      <c r="D164" s="2" t="s">
        <v>12</v>
      </c>
      <c r="E164" s="2" t="s">
        <v>799</v>
      </c>
      <c r="F164" s="2" t="n">
        <v>3366</v>
      </c>
      <c r="G164" s="2" t="s">
        <v>382</v>
      </c>
      <c r="H164" s="2" t="s">
        <v>800</v>
      </c>
    </row>
    <row r="165" customFormat="false" ht="23.85" hidden="false" customHeight="false" outlineLevel="0" collapsed="false">
      <c r="A165" s="2" t="s">
        <v>801</v>
      </c>
      <c r="B165" s="2" t="n">
        <v>2016</v>
      </c>
      <c r="C165" s="3" t="n">
        <v>42425</v>
      </c>
      <c r="D165" s="2" t="s">
        <v>19</v>
      </c>
      <c r="E165" s="2" t="s">
        <v>802</v>
      </c>
      <c r="F165" s="2" t="n">
        <v>1328</v>
      </c>
      <c r="G165" s="2" t="s">
        <v>382</v>
      </c>
      <c r="H165" s="2" t="s">
        <v>803</v>
      </c>
    </row>
    <row r="166" customFormat="false" ht="23.85" hidden="false" customHeight="false" outlineLevel="0" collapsed="false">
      <c r="A166" s="2" t="s">
        <v>804</v>
      </c>
      <c r="B166" s="2" t="n">
        <v>2016</v>
      </c>
      <c r="C166" s="3" t="n">
        <v>42425</v>
      </c>
      <c r="D166" s="2" t="s">
        <v>12</v>
      </c>
      <c r="E166" s="2" t="s">
        <v>805</v>
      </c>
      <c r="F166" s="2" t="n">
        <v>1476</v>
      </c>
      <c r="G166" s="2" t="s">
        <v>382</v>
      </c>
      <c r="H166" s="2" t="s">
        <v>806</v>
      </c>
    </row>
    <row r="167" customFormat="false" ht="23.85" hidden="false" customHeight="false" outlineLevel="0" collapsed="false">
      <c r="A167" s="2" t="s">
        <v>807</v>
      </c>
      <c r="B167" s="2" t="n">
        <v>2016</v>
      </c>
      <c r="C167" s="3" t="n">
        <v>42425</v>
      </c>
      <c r="D167" s="2" t="s">
        <v>80</v>
      </c>
      <c r="E167" s="2" t="s">
        <v>808</v>
      </c>
      <c r="F167" s="2" t="n">
        <v>1277</v>
      </c>
      <c r="G167" s="2" t="s">
        <v>382</v>
      </c>
      <c r="H167" s="2" t="s">
        <v>809</v>
      </c>
    </row>
    <row r="168" customFormat="false" ht="35.05" hidden="false" customHeight="false" outlineLevel="0" collapsed="false">
      <c r="A168" s="2" t="s">
        <v>810</v>
      </c>
      <c r="B168" s="2" t="n">
        <v>2016</v>
      </c>
      <c r="C168" s="3" t="n">
        <v>42424</v>
      </c>
      <c r="D168" s="2" t="s">
        <v>19</v>
      </c>
      <c r="E168" s="2" t="s">
        <v>811</v>
      </c>
      <c r="F168" s="2" t="n">
        <v>1817</v>
      </c>
      <c r="G168" s="2" t="s">
        <v>382</v>
      </c>
      <c r="H168" s="2" t="s">
        <v>812</v>
      </c>
    </row>
    <row r="169" customFormat="false" ht="46.25" hidden="false" customHeight="false" outlineLevel="0" collapsed="false">
      <c r="A169" s="2" t="s">
        <v>813</v>
      </c>
      <c r="B169" s="2" t="n">
        <v>2016</v>
      </c>
      <c r="C169" s="3" t="n">
        <v>42423</v>
      </c>
      <c r="D169" s="2" t="s">
        <v>12</v>
      </c>
      <c r="E169" s="2" t="s">
        <v>814</v>
      </c>
      <c r="F169" s="2" t="n">
        <v>653</v>
      </c>
      <c r="G169" s="2" t="s">
        <v>382</v>
      </c>
      <c r="H169" s="2" t="s">
        <v>815</v>
      </c>
    </row>
    <row r="170" customFormat="false" ht="35.05" hidden="false" customHeight="false" outlineLevel="0" collapsed="false">
      <c r="A170" s="2" t="s">
        <v>816</v>
      </c>
      <c r="B170" s="2" t="n">
        <v>2016</v>
      </c>
      <c r="C170" s="3" t="n">
        <v>42423</v>
      </c>
      <c r="D170" s="2" t="s">
        <v>80</v>
      </c>
      <c r="E170" s="2" t="s">
        <v>817</v>
      </c>
      <c r="F170" s="2" t="n">
        <v>638</v>
      </c>
      <c r="G170" s="2" t="s">
        <v>382</v>
      </c>
      <c r="H170" s="2" t="s">
        <v>818</v>
      </c>
    </row>
    <row r="171" customFormat="false" ht="46.25" hidden="false" customHeight="false" outlineLevel="0" collapsed="false">
      <c r="A171" s="2" t="s">
        <v>819</v>
      </c>
      <c r="B171" s="2" t="n">
        <v>2016</v>
      </c>
      <c r="C171" s="3" t="n">
        <v>42417</v>
      </c>
      <c r="D171" s="2" t="s">
        <v>12</v>
      </c>
      <c r="E171" s="2" t="s">
        <v>820</v>
      </c>
      <c r="F171" s="2" t="n">
        <v>1579</v>
      </c>
      <c r="G171" s="2" t="s">
        <v>382</v>
      </c>
      <c r="H171" s="2" t="s">
        <v>821</v>
      </c>
    </row>
    <row r="172" customFormat="false" ht="23.85" hidden="false" customHeight="false" outlineLevel="0" collapsed="false">
      <c r="A172" s="2" t="s">
        <v>822</v>
      </c>
      <c r="B172" s="2" t="n">
        <v>2016</v>
      </c>
      <c r="C172" s="3" t="n">
        <v>42415</v>
      </c>
      <c r="D172" s="2" t="s">
        <v>12</v>
      </c>
      <c r="E172" s="2" t="s">
        <v>823</v>
      </c>
      <c r="F172" s="2" t="n">
        <v>1368</v>
      </c>
      <c r="G172" s="2" t="s">
        <v>382</v>
      </c>
      <c r="H172" s="2" t="s">
        <v>824</v>
      </c>
    </row>
    <row r="173" customFormat="false" ht="23.85" hidden="false" customHeight="false" outlineLevel="0" collapsed="false">
      <c r="A173" s="2" t="s">
        <v>825</v>
      </c>
      <c r="B173" s="2" t="n">
        <v>2016</v>
      </c>
      <c r="C173" s="3" t="n">
        <v>42412</v>
      </c>
      <c r="D173" s="2" t="s">
        <v>31</v>
      </c>
      <c r="E173" s="2" t="s">
        <v>826</v>
      </c>
      <c r="F173" s="2" t="n">
        <v>1401</v>
      </c>
      <c r="G173" s="2" t="s">
        <v>382</v>
      </c>
      <c r="H173" s="2" t="s">
        <v>827</v>
      </c>
    </row>
    <row r="174" customFormat="false" ht="23.85" hidden="false" customHeight="false" outlineLevel="0" collapsed="false">
      <c r="A174" s="2" t="s">
        <v>828</v>
      </c>
      <c r="B174" s="2" t="n">
        <v>2016</v>
      </c>
      <c r="C174" s="3" t="n">
        <v>42411</v>
      </c>
      <c r="D174" s="2" t="s">
        <v>12</v>
      </c>
      <c r="E174" s="2" t="s">
        <v>829</v>
      </c>
      <c r="F174" s="2" t="n">
        <v>1207</v>
      </c>
      <c r="G174" s="2" t="s">
        <v>382</v>
      </c>
      <c r="H174" s="2" t="s">
        <v>830</v>
      </c>
    </row>
    <row r="175" customFormat="false" ht="46.25" hidden="false" customHeight="false" outlineLevel="0" collapsed="false">
      <c r="A175" s="2" t="s">
        <v>831</v>
      </c>
      <c r="B175" s="2" t="n">
        <v>2016</v>
      </c>
      <c r="C175" s="3" t="n">
        <v>42411</v>
      </c>
      <c r="D175" s="2" t="s">
        <v>75</v>
      </c>
      <c r="E175" s="2" t="s">
        <v>832</v>
      </c>
      <c r="F175" s="2" t="n">
        <v>1647</v>
      </c>
      <c r="G175" s="2" t="s">
        <v>382</v>
      </c>
      <c r="H175" s="2" t="s">
        <v>833</v>
      </c>
    </row>
    <row r="176" customFormat="false" ht="46.25" hidden="false" customHeight="false" outlineLevel="0" collapsed="false">
      <c r="A176" s="2" t="s">
        <v>834</v>
      </c>
      <c r="B176" s="2" t="n">
        <v>2016</v>
      </c>
      <c r="C176" s="3" t="n">
        <v>42410</v>
      </c>
      <c r="D176" s="2" t="s">
        <v>31</v>
      </c>
      <c r="E176" s="2" t="s">
        <v>835</v>
      </c>
      <c r="F176" s="2" t="n">
        <v>1365</v>
      </c>
      <c r="G176" s="2" t="s">
        <v>382</v>
      </c>
      <c r="H176" s="2" t="s">
        <v>836</v>
      </c>
    </row>
    <row r="177" customFormat="false" ht="23.85" hidden="false" customHeight="false" outlineLevel="0" collapsed="false">
      <c r="A177" s="2" t="s">
        <v>837</v>
      </c>
      <c r="B177" s="2" t="n">
        <v>2015</v>
      </c>
      <c r="C177" s="3" t="n">
        <v>42410</v>
      </c>
      <c r="D177" s="2" t="s">
        <v>31</v>
      </c>
      <c r="E177" s="2" t="s">
        <v>838</v>
      </c>
      <c r="F177" s="2" t="n">
        <v>1520</v>
      </c>
      <c r="G177" s="2" t="s">
        <v>382</v>
      </c>
      <c r="H177" s="2" t="s">
        <v>839</v>
      </c>
    </row>
    <row r="178" customFormat="false" ht="35.05" hidden="false" customHeight="false" outlineLevel="0" collapsed="false">
      <c r="A178" s="2" t="s">
        <v>840</v>
      </c>
      <c r="B178" s="2" t="n">
        <v>2016</v>
      </c>
      <c r="C178" s="3" t="n">
        <v>42410</v>
      </c>
      <c r="D178" s="2" t="s">
        <v>31</v>
      </c>
      <c r="E178" s="2" t="s">
        <v>841</v>
      </c>
      <c r="F178" s="2" t="n">
        <v>1843</v>
      </c>
      <c r="G178" s="2" t="s">
        <v>382</v>
      </c>
      <c r="H178" s="2" t="s">
        <v>842</v>
      </c>
    </row>
    <row r="179" customFormat="false" ht="35.05" hidden="false" customHeight="false" outlineLevel="0" collapsed="false">
      <c r="A179" s="2" t="s">
        <v>843</v>
      </c>
      <c r="B179" s="2" t="n">
        <v>2016</v>
      </c>
      <c r="C179" s="3" t="n">
        <v>42410</v>
      </c>
      <c r="D179" s="2" t="s">
        <v>12</v>
      </c>
      <c r="E179" s="2" t="s">
        <v>844</v>
      </c>
      <c r="F179" s="2" t="n">
        <v>1270</v>
      </c>
      <c r="G179" s="2" t="s">
        <v>382</v>
      </c>
      <c r="H179" s="2" t="s">
        <v>845</v>
      </c>
    </row>
    <row r="180" customFormat="false" ht="35.05" hidden="false" customHeight="false" outlineLevel="0" collapsed="false">
      <c r="A180" s="2" t="s">
        <v>846</v>
      </c>
      <c r="B180" s="2" t="n">
        <v>2016</v>
      </c>
      <c r="C180" s="3" t="n">
        <v>42410</v>
      </c>
      <c r="D180" s="2" t="s">
        <v>19</v>
      </c>
      <c r="E180" s="2" t="s">
        <v>847</v>
      </c>
      <c r="F180" s="2" t="n">
        <v>1287</v>
      </c>
      <c r="G180" s="2" t="s">
        <v>382</v>
      </c>
      <c r="H180" s="2" t="s">
        <v>848</v>
      </c>
    </row>
    <row r="181" customFormat="false" ht="35.05" hidden="false" customHeight="false" outlineLevel="0" collapsed="false">
      <c r="A181" s="2" t="s">
        <v>849</v>
      </c>
      <c r="B181" s="2" t="n">
        <v>2016</v>
      </c>
      <c r="C181" s="3" t="n">
        <v>42409</v>
      </c>
      <c r="D181" s="2" t="s">
        <v>12</v>
      </c>
      <c r="E181" s="2" t="s">
        <v>850</v>
      </c>
      <c r="F181" s="2" t="n">
        <v>1881</v>
      </c>
      <c r="G181" s="2" t="s">
        <v>382</v>
      </c>
      <c r="H181" s="2" t="s">
        <v>851</v>
      </c>
    </row>
    <row r="182" customFormat="false" ht="46.25" hidden="false" customHeight="false" outlineLevel="0" collapsed="false">
      <c r="A182" s="2" t="s">
        <v>852</v>
      </c>
      <c r="B182" s="2" t="n">
        <v>2016</v>
      </c>
      <c r="C182" s="3" t="n">
        <v>42409</v>
      </c>
      <c r="D182" s="2" t="s">
        <v>19</v>
      </c>
      <c r="E182" s="2" t="s">
        <v>853</v>
      </c>
      <c r="F182" s="2" t="n">
        <v>3432</v>
      </c>
      <c r="G182" s="2" t="s">
        <v>382</v>
      </c>
      <c r="H182" s="2" t="s">
        <v>854</v>
      </c>
    </row>
    <row r="183" customFormat="false" ht="35.05" hidden="false" customHeight="false" outlineLevel="0" collapsed="false">
      <c r="A183" s="2" t="s">
        <v>855</v>
      </c>
      <c r="B183" s="2" t="n">
        <v>2016</v>
      </c>
      <c r="C183" s="3" t="n">
        <v>42405</v>
      </c>
      <c r="D183" s="2" t="s">
        <v>75</v>
      </c>
      <c r="E183" s="2" t="s">
        <v>856</v>
      </c>
      <c r="F183" s="2" t="n">
        <v>1678</v>
      </c>
      <c r="G183" s="2" t="s">
        <v>382</v>
      </c>
      <c r="H183" s="2" t="s">
        <v>857</v>
      </c>
    </row>
    <row r="184" customFormat="false" ht="46.25" hidden="false" customHeight="false" outlineLevel="0" collapsed="false">
      <c r="A184" s="2" t="s">
        <v>858</v>
      </c>
      <c r="B184" s="2" t="n">
        <v>2016</v>
      </c>
      <c r="C184" s="3" t="n">
        <v>42404</v>
      </c>
      <c r="D184" s="2" t="s">
        <v>12</v>
      </c>
      <c r="E184" s="2" t="s">
        <v>859</v>
      </c>
      <c r="F184" s="2" t="n">
        <v>641</v>
      </c>
      <c r="G184" s="2" t="s">
        <v>382</v>
      </c>
      <c r="H184" s="2" t="s">
        <v>860</v>
      </c>
    </row>
    <row r="185" customFormat="false" ht="46.25" hidden="false" customHeight="false" outlineLevel="0" collapsed="false">
      <c r="A185" s="2" t="s">
        <v>861</v>
      </c>
      <c r="B185" s="2" t="n">
        <v>2016</v>
      </c>
      <c r="C185" s="3" t="n">
        <v>42404</v>
      </c>
      <c r="D185" s="2" t="s">
        <v>12</v>
      </c>
      <c r="E185" s="2" t="s">
        <v>862</v>
      </c>
      <c r="F185" s="2" t="n">
        <v>5322</v>
      </c>
      <c r="G185" s="2" t="s">
        <v>382</v>
      </c>
      <c r="H185" s="2" t="s">
        <v>863</v>
      </c>
    </row>
    <row r="186" customFormat="false" ht="46.25" hidden="false" customHeight="false" outlineLevel="0" collapsed="false">
      <c r="A186" s="2" t="s">
        <v>864</v>
      </c>
      <c r="B186" s="2" t="n">
        <v>2016</v>
      </c>
      <c r="C186" s="3" t="n">
        <v>42404</v>
      </c>
      <c r="D186" s="2" t="s">
        <v>80</v>
      </c>
      <c r="E186" s="2" t="s">
        <v>865</v>
      </c>
      <c r="F186" s="2" t="n">
        <v>2111</v>
      </c>
      <c r="G186" s="2" t="s">
        <v>382</v>
      </c>
      <c r="H186" s="2" t="s">
        <v>866</v>
      </c>
    </row>
    <row r="187" customFormat="false" ht="46.25" hidden="false" customHeight="false" outlineLevel="0" collapsed="false">
      <c r="A187" s="2" t="s">
        <v>867</v>
      </c>
      <c r="B187" s="2" t="n">
        <v>2016</v>
      </c>
      <c r="C187" s="3" t="n">
        <v>42403</v>
      </c>
      <c r="D187" s="2" t="s">
        <v>12</v>
      </c>
      <c r="E187" s="2" t="s">
        <v>868</v>
      </c>
      <c r="F187" s="2" t="n">
        <v>2538</v>
      </c>
      <c r="G187" s="2" t="s">
        <v>382</v>
      </c>
      <c r="H187" s="2" t="s">
        <v>869</v>
      </c>
    </row>
    <row r="188" customFormat="false" ht="23.85" hidden="false" customHeight="false" outlineLevel="0" collapsed="false">
      <c r="A188" s="2" t="s">
        <v>870</v>
      </c>
      <c r="B188" s="2" t="n">
        <v>2016</v>
      </c>
      <c r="C188" s="3" t="n">
        <v>42402</v>
      </c>
      <c r="D188" s="2" t="s">
        <v>619</v>
      </c>
      <c r="E188" s="2" t="s">
        <v>871</v>
      </c>
      <c r="F188" s="2" t="n">
        <v>812</v>
      </c>
      <c r="G188" s="2" t="s">
        <v>382</v>
      </c>
      <c r="H188" s="2" t="s">
        <v>872</v>
      </c>
    </row>
    <row r="189" customFormat="false" ht="35.05" hidden="false" customHeight="false" outlineLevel="0" collapsed="false">
      <c r="A189" s="2" t="s">
        <v>873</v>
      </c>
      <c r="B189" s="2" t="n">
        <v>2016</v>
      </c>
      <c r="C189" s="3" t="n">
        <v>42397</v>
      </c>
      <c r="D189" s="2" t="s">
        <v>12</v>
      </c>
      <c r="E189" s="2" t="s">
        <v>874</v>
      </c>
      <c r="F189" s="2" t="n">
        <v>876</v>
      </c>
      <c r="G189" s="2" t="s">
        <v>382</v>
      </c>
      <c r="H189" s="2" t="s">
        <v>875</v>
      </c>
    </row>
    <row r="190" customFormat="false" ht="46.25" hidden="false" customHeight="false" outlineLevel="0" collapsed="false">
      <c r="A190" s="2" t="s">
        <v>876</v>
      </c>
      <c r="B190" s="2" t="n">
        <v>2016</v>
      </c>
      <c r="C190" s="3" t="n">
        <v>42396</v>
      </c>
      <c r="D190" s="2" t="s">
        <v>80</v>
      </c>
      <c r="E190" s="2" t="s">
        <v>877</v>
      </c>
      <c r="F190" s="2" t="n">
        <v>5608</v>
      </c>
      <c r="G190" s="2" t="s">
        <v>382</v>
      </c>
      <c r="H190" s="2" t="s">
        <v>878</v>
      </c>
    </row>
    <row r="191" customFormat="false" ht="35.05" hidden="false" customHeight="false" outlineLevel="0" collapsed="false">
      <c r="A191" s="2" t="s">
        <v>879</v>
      </c>
      <c r="B191" s="2" t="n">
        <v>2016</v>
      </c>
      <c r="C191" s="3" t="n">
        <v>42394</v>
      </c>
      <c r="D191" s="2" t="s">
        <v>12</v>
      </c>
      <c r="E191" s="2" t="s">
        <v>880</v>
      </c>
      <c r="F191" s="2" t="n">
        <v>2076</v>
      </c>
      <c r="G191" s="2" t="s">
        <v>382</v>
      </c>
      <c r="H191" s="2" t="s">
        <v>881</v>
      </c>
    </row>
    <row r="192" customFormat="false" ht="46.25" hidden="false" customHeight="false" outlineLevel="0" collapsed="false">
      <c r="A192" s="2" t="s">
        <v>882</v>
      </c>
      <c r="B192" s="2" t="n">
        <v>2015</v>
      </c>
      <c r="C192" s="3" t="n">
        <v>42392</v>
      </c>
      <c r="D192" s="2" t="s">
        <v>12</v>
      </c>
      <c r="E192" s="2" t="s">
        <v>883</v>
      </c>
      <c r="F192" s="2" t="n">
        <v>2222</v>
      </c>
      <c r="G192" s="2" t="s">
        <v>382</v>
      </c>
      <c r="H192" s="2" t="s">
        <v>884</v>
      </c>
    </row>
    <row r="193" customFormat="false" ht="35.05" hidden="false" customHeight="false" outlineLevel="0" collapsed="false">
      <c r="A193" s="2" t="s">
        <v>885</v>
      </c>
      <c r="B193" s="2" t="n">
        <v>2016</v>
      </c>
      <c r="C193" s="3" t="n">
        <v>42388</v>
      </c>
      <c r="D193" s="2" t="s">
        <v>12</v>
      </c>
      <c r="E193" s="2" t="s">
        <v>886</v>
      </c>
      <c r="F193" s="2" t="n">
        <v>1230</v>
      </c>
      <c r="G193" s="2" t="s">
        <v>382</v>
      </c>
      <c r="H193" s="2" t="s">
        <v>887</v>
      </c>
    </row>
    <row r="194" customFormat="false" ht="46.25" hidden="false" customHeight="false" outlineLevel="0" collapsed="false">
      <c r="A194" s="2" t="s">
        <v>888</v>
      </c>
      <c r="B194" s="2" t="n">
        <v>2016</v>
      </c>
      <c r="C194" s="3" t="n">
        <v>42382</v>
      </c>
      <c r="D194" s="2" t="s">
        <v>19</v>
      </c>
      <c r="E194" s="2" t="s">
        <v>889</v>
      </c>
      <c r="F194" s="2" t="n">
        <v>635</v>
      </c>
      <c r="G194" s="2" t="s">
        <v>382</v>
      </c>
      <c r="H194" s="2" t="s">
        <v>890</v>
      </c>
    </row>
    <row r="195" customFormat="false" ht="35.05" hidden="false" customHeight="false" outlineLevel="0" collapsed="false">
      <c r="A195" s="2" t="s">
        <v>891</v>
      </c>
      <c r="B195" s="2" t="n">
        <v>2016</v>
      </c>
      <c r="C195" s="3" t="n">
        <v>42377</v>
      </c>
      <c r="D195" s="2" t="s">
        <v>12</v>
      </c>
      <c r="E195" s="2" t="s">
        <v>892</v>
      </c>
      <c r="F195" s="2" t="n">
        <v>1327</v>
      </c>
      <c r="G195" s="2" t="s">
        <v>382</v>
      </c>
      <c r="H195" s="2" t="s">
        <v>893</v>
      </c>
    </row>
    <row r="196" customFormat="false" ht="46.25" hidden="false" customHeight="false" outlineLevel="0" collapsed="false">
      <c r="A196" s="2" t="s">
        <v>894</v>
      </c>
      <c r="B196" s="2" t="n">
        <v>2016</v>
      </c>
      <c r="C196" s="3" t="n">
        <v>42374</v>
      </c>
      <c r="D196" s="2" t="s">
        <v>75</v>
      </c>
      <c r="E196" s="2" t="s">
        <v>895</v>
      </c>
      <c r="F196" s="2" t="n">
        <v>2260</v>
      </c>
      <c r="G196" s="2" t="s">
        <v>382</v>
      </c>
      <c r="H196" s="2" t="s">
        <v>896</v>
      </c>
    </row>
    <row r="197" customFormat="false" ht="46.25" hidden="false" customHeight="false" outlineLevel="0" collapsed="false">
      <c r="A197" s="2" t="s">
        <v>897</v>
      </c>
      <c r="B197" s="2" t="n">
        <v>2016</v>
      </c>
      <c r="C197" s="3" t="n">
        <v>42374</v>
      </c>
      <c r="D197" s="2" t="s">
        <v>75</v>
      </c>
      <c r="E197" s="2" t="s">
        <v>898</v>
      </c>
      <c r="F197" s="2" t="n">
        <v>2009</v>
      </c>
      <c r="G197" s="2" t="s">
        <v>382</v>
      </c>
      <c r="H197" s="2" t="s">
        <v>899</v>
      </c>
    </row>
    <row r="198" customFormat="false" ht="35.05" hidden="false" customHeight="false" outlineLevel="0" collapsed="false">
      <c r="A198" s="2" t="s">
        <v>900</v>
      </c>
      <c r="B198" s="2" t="n">
        <v>2015</v>
      </c>
      <c r="C198" s="3" t="n">
        <v>42366</v>
      </c>
      <c r="D198" s="2" t="s">
        <v>12</v>
      </c>
      <c r="E198" s="2" t="s">
        <v>901</v>
      </c>
      <c r="F198" s="2" t="n">
        <v>677</v>
      </c>
      <c r="G198" s="2" t="s">
        <v>382</v>
      </c>
      <c r="H198" s="2" t="s">
        <v>902</v>
      </c>
    </row>
    <row r="199" customFormat="false" ht="23.85" hidden="false" customHeight="false" outlineLevel="0" collapsed="false">
      <c r="A199" s="2" t="s">
        <v>903</v>
      </c>
      <c r="B199" s="2" t="n">
        <v>2015</v>
      </c>
      <c r="C199" s="3" t="n">
        <v>42359</v>
      </c>
      <c r="D199" s="2" t="s">
        <v>12</v>
      </c>
      <c r="E199" s="2" t="s">
        <v>904</v>
      </c>
      <c r="F199" s="2" t="n">
        <v>1636</v>
      </c>
      <c r="G199" s="2" t="s">
        <v>382</v>
      </c>
      <c r="H199" s="2" t="s">
        <v>905</v>
      </c>
    </row>
    <row r="200" customFormat="false" ht="23.85" hidden="false" customHeight="false" outlineLevel="0" collapsed="false">
      <c r="A200" s="2" t="s">
        <v>906</v>
      </c>
      <c r="B200" s="2" t="n">
        <v>2015</v>
      </c>
      <c r="C200" s="3" t="n">
        <v>42336</v>
      </c>
      <c r="D200" s="2" t="s">
        <v>12</v>
      </c>
      <c r="E200" s="2" t="s">
        <v>907</v>
      </c>
      <c r="F200" s="2" t="n">
        <v>4564</v>
      </c>
      <c r="G200" s="2" t="s">
        <v>382</v>
      </c>
      <c r="H200" s="2" t="s">
        <v>908</v>
      </c>
    </row>
    <row r="201" customFormat="false" ht="46.25" hidden="false" customHeight="false" outlineLevel="0" collapsed="false">
      <c r="A201" s="2" t="s">
        <v>909</v>
      </c>
      <c r="B201" s="2" t="n">
        <v>2016</v>
      </c>
      <c r="C201" s="3" t="n">
        <v>42333</v>
      </c>
      <c r="D201" s="2" t="s">
        <v>80</v>
      </c>
      <c r="E201" s="2" t="s">
        <v>910</v>
      </c>
      <c r="F201" s="2" t="n">
        <v>1749</v>
      </c>
      <c r="G201" s="2" t="s">
        <v>382</v>
      </c>
      <c r="H201" s="2" t="s">
        <v>911</v>
      </c>
    </row>
    <row r="202" customFormat="false" ht="35.05" hidden="false" customHeight="false" outlineLevel="0" collapsed="false">
      <c r="A202" s="2" t="s">
        <v>912</v>
      </c>
      <c r="B202" s="2" t="n">
        <v>2015</v>
      </c>
      <c r="C202" s="3" t="n">
        <v>42325</v>
      </c>
      <c r="D202" s="2" t="s">
        <v>12</v>
      </c>
      <c r="E202" s="2" t="s">
        <v>913</v>
      </c>
      <c r="F202" s="2" t="n">
        <v>1150</v>
      </c>
      <c r="G202" s="2" t="s">
        <v>382</v>
      </c>
      <c r="H202" s="2" t="s">
        <v>914</v>
      </c>
    </row>
    <row r="203" customFormat="false" ht="46.25" hidden="false" customHeight="false" outlineLevel="0" collapsed="false">
      <c r="A203" s="2" t="s">
        <v>915</v>
      </c>
      <c r="B203" s="2" t="n">
        <v>2015</v>
      </c>
      <c r="C203" s="3" t="n">
        <v>42307</v>
      </c>
      <c r="D203" s="2" t="s">
        <v>12</v>
      </c>
      <c r="E203" s="2" t="s">
        <v>916</v>
      </c>
      <c r="F203" s="2" t="n">
        <v>3454</v>
      </c>
      <c r="G203" s="2" t="s">
        <v>382</v>
      </c>
      <c r="H203" s="2" t="s">
        <v>917</v>
      </c>
    </row>
    <row r="204" customFormat="false" ht="35.05" hidden="false" customHeight="false" outlineLevel="0" collapsed="false">
      <c r="A204" s="2" t="s">
        <v>918</v>
      </c>
      <c r="B204" s="2" t="n">
        <v>2015</v>
      </c>
      <c r="C204" s="3" t="n">
        <v>42307</v>
      </c>
      <c r="D204" s="2" t="s">
        <v>80</v>
      </c>
      <c r="E204" s="2" t="s">
        <v>919</v>
      </c>
      <c r="F204" s="2" t="n">
        <v>3050</v>
      </c>
      <c r="G204" s="2" t="s">
        <v>382</v>
      </c>
      <c r="H204" s="2" t="s">
        <v>920</v>
      </c>
    </row>
    <row r="205" customFormat="false" ht="35.05" hidden="false" customHeight="false" outlineLevel="0" collapsed="false">
      <c r="A205" s="2" t="s">
        <v>921</v>
      </c>
      <c r="B205" s="2" t="n">
        <v>2015</v>
      </c>
      <c r="C205" s="3" t="n">
        <v>42304</v>
      </c>
      <c r="D205" s="2" t="s">
        <v>12</v>
      </c>
      <c r="E205" s="2" t="s">
        <v>922</v>
      </c>
      <c r="F205" s="2" t="n">
        <v>1370</v>
      </c>
      <c r="G205" s="2" t="s">
        <v>382</v>
      </c>
      <c r="H205" s="2" t="s">
        <v>923</v>
      </c>
    </row>
    <row r="206" customFormat="false" ht="35.05" hidden="false" customHeight="false" outlineLevel="0" collapsed="false">
      <c r="A206" s="2" t="s">
        <v>603</v>
      </c>
      <c r="B206" s="2" t="n">
        <v>2015</v>
      </c>
      <c r="C206" s="3" t="n">
        <v>42304</v>
      </c>
      <c r="D206" s="2" t="s">
        <v>12</v>
      </c>
      <c r="E206" s="2" t="s">
        <v>924</v>
      </c>
      <c r="F206" s="2" t="n">
        <v>1490</v>
      </c>
      <c r="G206" s="2" t="s">
        <v>382</v>
      </c>
      <c r="H206" s="2" t="s">
        <v>925</v>
      </c>
    </row>
    <row r="207" customFormat="false" ht="23.85" hidden="false" customHeight="false" outlineLevel="0" collapsed="false">
      <c r="A207" s="2" t="s">
        <v>926</v>
      </c>
      <c r="B207" s="2" t="n">
        <v>2015</v>
      </c>
      <c r="C207" s="3" t="n">
        <v>42285</v>
      </c>
      <c r="D207" s="2" t="s">
        <v>12</v>
      </c>
      <c r="E207" s="2" t="s">
        <v>927</v>
      </c>
      <c r="F207" s="2" t="n">
        <v>2073</v>
      </c>
      <c r="G207" s="2" t="s">
        <v>382</v>
      </c>
      <c r="H207" s="2" t="s">
        <v>928</v>
      </c>
    </row>
    <row r="208" customFormat="false" ht="23.85" hidden="false" customHeight="false" outlineLevel="0" collapsed="false">
      <c r="A208" s="2" t="s">
        <v>929</v>
      </c>
      <c r="B208" s="2" t="n">
        <v>2015</v>
      </c>
      <c r="C208" s="3" t="n">
        <v>42276</v>
      </c>
      <c r="D208" s="2" t="s">
        <v>12</v>
      </c>
      <c r="E208" s="2" t="s">
        <v>930</v>
      </c>
      <c r="F208" s="2" t="n">
        <v>5844</v>
      </c>
      <c r="G208" s="2" t="s">
        <v>382</v>
      </c>
      <c r="H208" s="2" t="s">
        <v>931</v>
      </c>
    </row>
    <row r="209" customFormat="false" ht="23.85" hidden="false" customHeight="false" outlineLevel="0" collapsed="false">
      <c r="A209" s="2" t="s">
        <v>932</v>
      </c>
      <c r="B209" s="2" t="n">
        <v>2015</v>
      </c>
      <c r="C209" s="3" t="n">
        <v>42262</v>
      </c>
      <c r="D209" s="2" t="s">
        <v>12</v>
      </c>
      <c r="E209" s="2" t="s">
        <v>933</v>
      </c>
      <c r="F209" s="2" t="n">
        <v>780</v>
      </c>
      <c r="G209" s="2" t="s">
        <v>382</v>
      </c>
      <c r="H209" s="2" t="s">
        <v>934</v>
      </c>
    </row>
    <row r="210" customFormat="false" ht="46.25" hidden="false" customHeight="false" outlineLevel="0" collapsed="false">
      <c r="A210" s="2" t="s">
        <v>935</v>
      </c>
      <c r="B210" s="2" t="n">
        <v>2015</v>
      </c>
      <c r="C210" s="3" t="n">
        <v>42251</v>
      </c>
      <c r="D210" s="2" t="s">
        <v>80</v>
      </c>
      <c r="E210" s="2" t="s">
        <v>936</v>
      </c>
      <c r="F210" s="2" t="n">
        <v>7328</v>
      </c>
      <c r="G210" s="2" t="s">
        <v>382</v>
      </c>
      <c r="H210" s="2" t="s">
        <v>937</v>
      </c>
    </row>
    <row r="211" customFormat="false" ht="35.05" hidden="false" customHeight="false" outlineLevel="0" collapsed="false">
      <c r="A211" s="2" t="s">
        <v>938</v>
      </c>
      <c r="B211" s="2" t="n">
        <v>2015</v>
      </c>
      <c r="C211" s="3" t="n">
        <v>42242</v>
      </c>
      <c r="D211" s="2" t="s">
        <v>12</v>
      </c>
      <c r="E211" s="2" t="s">
        <v>939</v>
      </c>
      <c r="F211" s="2" t="n">
        <v>2412</v>
      </c>
      <c r="G211" s="2" t="s">
        <v>382</v>
      </c>
      <c r="H211" s="2" t="s">
        <v>940</v>
      </c>
    </row>
    <row r="212" customFormat="false" ht="35.05" hidden="false" customHeight="false" outlineLevel="0" collapsed="false">
      <c r="A212" s="2" t="s">
        <v>941</v>
      </c>
      <c r="B212" s="2" t="n">
        <v>2015</v>
      </c>
      <c r="C212" s="3" t="n">
        <v>42242</v>
      </c>
      <c r="D212" s="2" t="s">
        <v>12</v>
      </c>
      <c r="E212" s="2" t="s">
        <v>942</v>
      </c>
      <c r="F212" s="2" t="n">
        <v>1560</v>
      </c>
      <c r="G212" s="2" t="s">
        <v>382</v>
      </c>
      <c r="H212" s="2" t="s">
        <v>943</v>
      </c>
    </row>
    <row r="213" customFormat="false" ht="35.05" hidden="false" customHeight="false" outlineLevel="0" collapsed="false">
      <c r="A213" s="2" t="s">
        <v>944</v>
      </c>
      <c r="B213" s="2" t="n">
        <v>2015</v>
      </c>
      <c r="C213" s="3" t="n">
        <v>42242</v>
      </c>
      <c r="D213" s="2" t="s">
        <v>12</v>
      </c>
      <c r="E213" s="2" t="s">
        <v>945</v>
      </c>
      <c r="F213" s="2" t="n">
        <v>1385</v>
      </c>
      <c r="G213" s="2" t="s">
        <v>382</v>
      </c>
      <c r="H213" s="2" t="s">
        <v>946</v>
      </c>
    </row>
    <row r="214" customFormat="false" ht="35.05" hidden="false" customHeight="false" outlineLevel="0" collapsed="false">
      <c r="A214" s="2" t="s">
        <v>947</v>
      </c>
      <c r="B214" s="2" t="n">
        <v>2015</v>
      </c>
      <c r="C214" s="3" t="n">
        <v>42227</v>
      </c>
      <c r="D214" s="2" t="s">
        <v>12</v>
      </c>
      <c r="E214" s="2" t="s">
        <v>948</v>
      </c>
      <c r="F214" s="2" t="n">
        <v>761</v>
      </c>
      <c r="G214" s="2" t="s">
        <v>382</v>
      </c>
      <c r="H214" s="2" t="s">
        <v>949</v>
      </c>
    </row>
    <row r="215" customFormat="false" ht="35.05" hidden="false" customHeight="false" outlineLevel="0" collapsed="false">
      <c r="A215" s="2" t="s">
        <v>703</v>
      </c>
      <c r="B215" s="2" t="n">
        <v>2015</v>
      </c>
      <c r="C215" s="3" t="n">
        <v>42223</v>
      </c>
      <c r="D215" s="2" t="s">
        <v>12</v>
      </c>
      <c r="E215" s="2" t="s">
        <v>950</v>
      </c>
      <c r="F215" s="2" t="n">
        <v>1727</v>
      </c>
      <c r="G215" s="2" t="s">
        <v>382</v>
      </c>
      <c r="H215" s="2" t="s">
        <v>951</v>
      </c>
    </row>
    <row r="216" customFormat="false" ht="23.85" hidden="false" customHeight="false" outlineLevel="0" collapsed="false">
      <c r="A216" s="2" t="s">
        <v>952</v>
      </c>
      <c r="B216" s="2" t="n">
        <v>2015</v>
      </c>
      <c r="C216" s="3" t="n">
        <v>42221</v>
      </c>
      <c r="D216" s="2" t="s">
        <v>12</v>
      </c>
      <c r="E216" s="2" t="s">
        <v>953</v>
      </c>
      <c r="F216" s="2" t="n">
        <v>1573</v>
      </c>
      <c r="G216" s="2" t="s">
        <v>382</v>
      </c>
      <c r="H216" s="2" t="s">
        <v>954</v>
      </c>
    </row>
    <row r="217" customFormat="false" ht="35.05" hidden="false" customHeight="false" outlineLevel="0" collapsed="false">
      <c r="A217" s="2" t="s">
        <v>955</v>
      </c>
      <c r="B217" s="2" t="n">
        <v>2015</v>
      </c>
      <c r="C217" s="3" t="n">
        <v>42214</v>
      </c>
      <c r="D217" s="2" t="s">
        <v>12</v>
      </c>
      <c r="E217" s="2" t="s">
        <v>956</v>
      </c>
      <c r="F217" s="2" t="n">
        <v>769</v>
      </c>
      <c r="G217" s="2" t="s">
        <v>382</v>
      </c>
      <c r="H217" s="2" t="s">
        <v>957</v>
      </c>
    </row>
    <row r="218" customFormat="false" ht="23.85" hidden="false" customHeight="false" outlineLevel="0" collapsed="false">
      <c r="A218" s="2" t="s">
        <v>606</v>
      </c>
      <c r="B218" s="2" t="n">
        <v>2015</v>
      </c>
      <c r="C218" s="3" t="n">
        <v>42181</v>
      </c>
      <c r="D218" s="2" t="s">
        <v>12</v>
      </c>
      <c r="E218" s="2" t="s">
        <v>958</v>
      </c>
      <c r="F218" s="2" t="n">
        <v>1166</v>
      </c>
      <c r="G218" s="2" t="s">
        <v>382</v>
      </c>
      <c r="H218" s="2" t="s">
        <v>959</v>
      </c>
    </row>
    <row r="219" customFormat="false" ht="23.85" hidden="false" customHeight="false" outlineLevel="0" collapsed="false">
      <c r="A219" s="2" t="s">
        <v>960</v>
      </c>
      <c r="B219" s="2" t="n">
        <v>2015</v>
      </c>
      <c r="C219" s="3" t="n">
        <v>42167</v>
      </c>
      <c r="D219" s="2" t="s">
        <v>12</v>
      </c>
      <c r="E219" s="2" t="s">
        <v>961</v>
      </c>
      <c r="F219" s="2" t="n">
        <v>755</v>
      </c>
      <c r="G219" s="2" t="s">
        <v>382</v>
      </c>
      <c r="H219" s="2" t="s">
        <v>962</v>
      </c>
    </row>
    <row r="220" customFormat="false" ht="23.85" hidden="false" customHeight="false" outlineLevel="0" collapsed="false">
      <c r="A220" s="2" t="s">
        <v>963</v>
      </c>
      <c r="B220" s="2" t="n">
        <v>2015</v>
      </c>
      <c r="C220" s="3" t="n">
        <v>42166</v>
      </c>
      <c r="D220" s="2" t="s">
        <v>12</v>
      </c>
      <c r="E220" s="2" t="s">
        <v>964</v>
      </c>
      <c r="F220" s="2" t="n">
        <v>727</v>
      </c>
      <c r="G220" s="2" t="s">
        <v>382</v>
      </c>
      <c r="H220" s="2" t="s">
        <v>965</v>
      </c>
    </row>
    <row r="221" customFormat="false" ht="23.85" hidden="false" customHeight="false" outlineLevel="0" collapsed="false">
      <c r="A221" s="2" t="s">
        <v>966</v>
      </c>
      <c r="B221" s="2" t="n">
        <v>2015</v>
      </c>
      <c r="C221" s="3" t="n">
        <v>42152</v>
      </c>
      <c r="D221" s="2" t="s">
        <v>12</v>
      </c>
      <c r="E221" s="2" t="s">
        <v>967</v>
      </c>
      <c r="F221" s="2" t="n">
        <v>758</v>
      </c>
      <c r="G221" s="2" t="s">
        <v>382</v>
      </c>
      <c r="H221" s="2" t="s">
        <v>968</v>
      </c>
    </row>
    <row r="222" customFormat="false" ht="46.25" hidden="false" customHeight="false" outlineLevel="0" collapsed="false">
      <c r="A222" s="2" t="s">
        <v>969</v>
      </c>
      <c r="B222" s="2" t="n">
        <v>2015</v>
      </c>
      <c r="C222" s="3" t="n">
        <v>42111</v>
      </c>
      <c r="D222" s="2" t="s">
        <v>12</v>
      </c>
      <c r="E222" s="2" t="s">
        <v>970</v>
      </c>
      <c r="F222" s="2" t="n">
        <v>1244</v>
      </c>
      <c r="G222" s="2" t="s">
        <v>382</v>
      </c>
      <c r="H222" s="2" t="s">
        <v>971</v>
      </c>
    </row>
    <row r="223" customFormat="false" ht="15" hidden="false" customHeight="false" outlineLevel="0" collapsed="false">
      <c r="A223" s="2" t="s">
        <v>972</v>
      </c>
      <c r="B223" s="2" t="n">
        <v>2015</v>
      </c>
      <c r="C223" s="3" t="n">
        <v>42104</v>
      </c>
      <c r="D223" s="2" t="s">
        <v>12</v>
      </c>
      <c r="E223" s="2" t="s">
        <v>973</v>
      </c>
      <c r="F223" s="2" t="n">
        <v>5372</v>
      </c>
      <c r="G223" s="2" t="s">
        <v>382</v>
      </c>
      <c r="H223" s="2" t="s">
        <v>974</v>
      </c>
    </row>
    <row r="224" customFormat="false" ht="46.25" hidden="false" customHeight="false" outlineLevel="0" collapsed="false">
      <c r="A224" s="2" t="s">
        <v>831</v>
      </c>
      <c r="B224" s="2" t="n">
        <v>2015</v>
      </c>
      <c r="C224" s="3" t="n">
        <v>42086</v>
      </c>
      <c r="D224" s="2" t="s">
        <v>12</v>
      </c>
      <c r="E224" s="2" t="s">
        <v>975</v>
      </c>
      <c r="F224" s="2" t="n">
        <v>2776</v>
      </c>
      <c r="G224" s="2" t="s">
        <v>382</v>
      </c>
      <c r="H224" s="2" t="s">
        <v>976</v>
      </c>
    </row>
    <row r="225" customFormat="false" ht="46.25" hidden="false" customHeight="false" outlineLevel="0" collapsed="false">
      <c r="A225" s="2" t="s">
        <v>977</v>
      </c>
      <c r="B225" s="2" t="n">
        <v>2015</v>
      </c>
      <c r="C225" s="3" t="n">
        <v>42053</v>
      </c>
      <c r="D225" s="2" t="s">
        <v>80</v>
      </c>
      <c r="E225" s="2" t="s">
        <v>978</v>
      </c>
      <c r="F225" s="2" t="n">
        <v>4646</v>
      </c>
      <c r="G225" s="2" t="s">
        <v>382</v>
      </c>
      <c r="H225" s="2" t="s">
        <v>979</v>
      </c>
    </row>
    <row r="226" customFormat="false" ht="46.25" hidden="false" customHeight="false" outlineLevel="0" collapsed="false">
      <c r="A226" s="2" t="s">
        <v>980</v>
      </c>
      <c r="B226" s="2" t="n">
        <v>2015</v>
      </c>
      <c r="C226" s="3" t="n">
        <v>42053</v>
      </c>
      <c r="D226" s="2" t="s">
        <v>80</v>
      </c>
      <c r="E226" s="2" t="s">
        <v>981</v>
      </c>
      <c r="F226" s="2" t="n">
        <v>4646</v>
      </c>
      <c r="G226" s="2" t="s">
        <v>384</v>
      </c>
      <c r="H226" s="2" t="s">
        <v>979</v>
      </c>
    </row>
    <row r="227" customFormat="false" ht="35.05" hidden="false" customHeight="false" outlineLevel="0" collapsed="false">
      <c r="A227" s="2" t="s">
        <v>891</v>
      </c>
      <c r="B227" s="2" t="n">
        <v>2015</v>
      </c>
      <c r="C227" s="3" t="n">
        <v>42023</v>
      </c>
      <c r="D227" s="2" t="s">
        <v>12</v>
      </c>
      <c r="E227" s="2" t="s">
        <v>982</v>
      </c>
      <c r="F227" s="2" t="n">
        <v>1220</v>
      </c>
      <c r="G227" s="2" t="s">
        <v>382</v>
      </c>
      <c r="H227" s="2" t="s">
        <v>983</v>
      </c>
    </row>
    <row r="228" customFormat="false" ht="23.85" hidden="false" customHeight="false" outlineLevel="0" collapsed="false">
      <c r="A228" s="2" t="s">
        <v>894</v>
      </c>
      <c r="B228" s="2" t="n">
        <v>2015</v>
      </c>
      <c r="C228" s="3" t="n">
        <v>42017</v>
      </c>
      <c r="D228" s="2" t="s">
        <v>12</v>
      </c>
      <c r="E228" s="2" t="s">
        <v>984</v>
      </c>
      <c r="F228" s="2" t="n">
        <v>2666</v>
      </c>
      <c r="G228" s="2" t="s">
        <v>382</v>
      </c>
      <c r="H228" s="2" t="s">
        <v>985</v>
      </c>
    </row>
    <row r="229" customFormat="false" ht="23.85" hidden="false" customHeight="false" outlineLevel="0" collapsed="false">
      <c r="A229" s="2" t="s">
        <v>986</v>
      </c>
      <c r="B229" s="2" t="n">
        <v>2015</v>
      </c>
      <c r="C229" s="3" t="n">
        <v>42017</v>
      </c>
      <c r="D229" s="2" t="s">
        <v>12</v>
      </c>
      <c r="E229" s="2" t="s">
        <v>987</v>
      </c>
      <c r="F229" s="2" t="n">
        <v>1323</v>
      </c>
      <c r="G229" s="2" t="s">
        <v>382</v>
      </c>
      <c r="H229" s="2" t="s">
        <v>988</v>
      </c>
    </row>
    <row r="230" customFormat="false" ht="46.25" hidden="false" customHeight="false" outlineLevel="0" collapsed="false">
      <c r="A230" s="2" t="s">
        <v>989</v>
      </c>
      <c r="B230" s="2" t="n">
        <v>2015</v>
      </c>
      <c r="C230" s="3" t="n">
        <v>42017</v>
      </c>
      <c r="D230" s="2" t="s">
        <v>80</v>
      </c>
      <c r="E230" s="2" t="s">
        <v>990</v>
      </c>
      <c r="F230" s="2" t="n">
        <v>1609</v>
      </c>
      <c r="G230" s="2" t="s">
        <v>382</v>
      </c>
      <c r="H230" s="2" t="s">
        <v>991</v>
      </c>
    </row>
  </sheetData>
  <autoFilter ref="A1:H23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12"/>
  </cols>
  <sheetData>
    <row r="1" customFormat="false" ht="15" hidden="false" customHeight="false" outlineLevel="0" collapsed="false">
      <c r="A1" s="4" t="s">
        <v>992</v>
      </c>
      <c r="B1" s="4" t="n">
        <f aca="false">COUNTA(Shortlist!A2:A87)+COUNTA(Excluded!A2:A230)</f>
        <v>315</v>
      </c>
    </row>
    <row r="2" customFormat="false" ht="15" hidden="false" customHeight="false" outlineLevel="0" collapsed="false">
      <c r="A2" s="4" t="s">
        <v>993</v>
      </c>
      <c r="B2" s="4" t="n">
        <f aca="false">COUNTA(Shortlist!A2:A87)</f>
        <v>86</v>
      </c>
    </row>
    <row r="3" customFormat="false" ht="15" hidden="false" customHeight="false" outlineLevel="0" collapsed="false">
      <c r="A3" s="4" t="s">
        <v>994</v>
      </c>
      <c r="B3" s="4" t="n">
        <f aca="false">COUNTIF(Shortlist!I2:I87,"Y")</f>
        <v>71</v>
      </c>
    </row>
    <row r="4" customFormat="false" ht="15" hidden="false" customHeight="false" outlineLevel="0" collapsed="false">
      <c r="A4" s="4" t="s">
        <v>995</v>
      </c>
      <c r="B4" s="4" t="n">
        <f aca="false">COUNTIF(Shortlist!H2:H87,"Tamil")</f>
        <v>15</v>
      </c>
    </row>
    <row r="5" customFormat="false" ht="15" hidden="false" customHeight="false" outlineLevel="0" collapsed="false">
      <c r="A5" s="4" t="s">
        <v>996</v>
      </c>
      <c r="B5" s="4" t="n">
        <f aca="false">COUNTIF(Excluded!G2:G230,"size 0*")</f>
        <v>21</v>
      </c>
    </row>
    <row r="6" customFormat="false" ht="15" hidden="false" customHeight="false" outlineLevel="0" collapsed="false">
      <c r="A6" s="4" t="s">
        <v>997</v>
      </c>
      <c r="B6" s="4" t="n">
        <f aca="false">COUNTIF(Excluded!G2:G230,"older*")</f>
        <v>205</v>
      </c>
    </row>
    <row r="7" customFormat="false" ht="15" hidden="false" customHeight="false" outlineLevel="0" collapsed="false">
      <c r="A7" s="4" t="s">
        <v>998</v>
      </c>
      <c r="B7" s="4" t="n">
        <f aca="false">COUNTIF(Excluded!G2:G230,"duplicate*")</f>
        <v>3</v>
      </c>
    </row>
    <row r="9" customFormat="false" ht="15" hidden="false" customHeight="false" outlineLevel="0" collapsed="false">
      <c r="A9" s="5" t="s">
        <v>999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2026-10-11T07:36:12Z</dcterms:created>
  <dc:creator>openpyxl</dc:creator>
  <dc:description/>
  <dc:language>en-US</dc:language>
  <cp:lastModifiedBy/>
  <dcterms:modified xsi:type="dcterms:W3CDTF">2026-10-11T07:36:12Z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